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GITME\"/>
    </mc:Choice>
  </mc:AlternateContent>
  <xr:revisionPtr revIDLastSave="0" documentId="8_{322FE8D6-AF4E-420C-9438-669833162B9B}" xr6:coauthVersionLast="47" xr6:coauthVersionMax="47" xr10:uidLastSave="{00000000-0000-0000-0000-000000000000}"/>
  <bookViews>
    <workbookView xWindow="-108" yWindow="-108" windowWidth="23256" windowHeight="12456" activeTab="2" xr2:uid="{00000000-000D-0000-FFFF-FFFF00000000}"/>
  </bookViews>
  <sheets>
    <sheet name="Table" sheetId="1" r:id="rId1"/>
    <sheet name="PIVOT1" sheetId="2" r:id="rId2"/>
    <sheet name="Dashbord" sheetId="3" r:id="rId3"/>
    <sheet name="REPORT" sheetId="5" r:id="rId4"/>
  </sheets>
  <definedNames>
    <definedName name="Slicer_Product_Category">#N/A</definedName>
  </definedNames>
  <calcPr calcId="191029"/>
  <pivotCaches>
    <pivotCache cacheId="1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F2" i="1"/>
  <c r="F3" i="1"/>
  <c r="F4" i="1"/>
  <c r="F5" i="1"/>
  <c r="F6" i="1"/>
  <c r="F7" i="1"/>
  <c r="G7" i="1" s="1"/>
  <c r="F8" i="1"/>
  <c r="G8" i="1" s="1"/>
  <c r="F9" i="1"/>
  <c r="G9" i="1" s="1"/>
  <c r="F10" i="1"/>
  <c r="F11" i="1"/>
  <c r="F12" i="1"/>
  <c r="G12" i="1" s="1"/>
  <c r="F13" i="1"/>
  <c r="F14" i="1"/>
  <c r="F15" i="1"/>
  <c r="G15" i="1" s="1"/>
  <c r="F16" i="1"/>
  <c r="G16" i="1" s="1"/>
  <c r="F17" i="1"/>
  <c r="G17" i="1" s="1"/>
  <c r="F18" i="1"/>
  <c r="G18" i="1" s="1"/>
  <c r="F19" i="1"/>
  <c r="G19" i="1" s="1"/>
  <c r="F20" i="1"/>
  <c r="G20" i="1" s="1"/>
  <c r="F21" i="1"/>
  <c r="F22" i="1"/>
  <c r="G22" i="1" s="1"/>
  <c r="F23" i="1"/>
  <c r="G23" i="1" s="1"/>
  <c r="F24" i="1"/>
  <c r="G24" i="1" s="1"/>
  <c r="F25" i="1"/>
  <c r="G25" i="1" s="1"/>
  <c r="F26" i="1"/>
  <c r="F27" i="1"/>
  <c r="G27" i="1" s="1"/>
  <c r="F28" i="1"/>
  <c r="G28" i="1" s="1"/>
  <c r="F29" i="1"/>
  <c r="F30" i="1"/>
  <c r="F31" i="1"/>
  <c r="G31" i="1" s="1"/>
  <c r="F32" i="1"/>
  <c r="G32" i="1" s="1"/>
  <c r="F33" i="1"/>
  <c r="G33" i="1" s="1"/>
  <c r="F34" i="1"/>
  <c r="G34" i="1" s="1"/>
  <c r="F35" i="1"/>
  <c r="G35" i="1" s="1"/>
  <c r="F36" i="1"/>
  <c r="G36" i="1" s="1"/>
  <c r="G3" i="1"/>
  <c r="G4" i="1"/>
  <c r="G5" i="1"/>
  <c r="G6" i="1"/>
  <c r="G10" i="1"/>
  <c r="G11" i="1"/>
  <c r="G13" i="1"/>
  <c r="G14" i="1"/>
  <c r="G21" i="1"/>
  <c r="G26" i="1"/>
  <c r="G29" i="1"/>
  <c r="G30" i="1"/>
  <c r="G2" i="1"/>
  <c r="G16" i="2"/>
  <c r="G13" i="2"/>
  <c r="G10" i="2"/>
  <c r="G5" i="2"/>
</calcChain>
</file>

<file path=xl/sharedStrings.xml><?xml version="1.0" encoding="utf-8"?>
<sst xmlns="http://schemas.openxmlformats.org/spreadsheetml/2006/main" count="127" uniqueCount="94">
  <si>
    <t>Product_ID</t>
  </si>
  <si>
    <t>Product_Name</t>
  </si>
  <si>
    <t>Product_Category</t>
  </si>
  <si>
    <t>Product_Cost</t>
  </si>
  <si>
    <t>Action Figure</t>
  </si>
  <si>
    <t>Toys</t>
  </si>
  <si>
    <t>Animal Figures</t>
  </si>
  <si>
    <t>Toys</t>
  </si>
  <si>
    <t>Barrel O' Slime</t>
  </si>
  <si>
    <t>Art &amp; Crafts</t>
  </si>
  <si>
    <t>Chutes &amp; Ladders</t>
  </si>
  <si>
    <t>Games</t>
  </si>
  <si>
    <t>Classic Dominoes</t>
  </si>
  <si>
    <t>Games</t>
  </si>
  <si>
    <t>Colorbuds</t>
  </si>
  <si>
    <t>Electronics</t>
  </si>
  <si>
    <t>Dart Gun</t>
  </si>
  <si>
    <t>Sports &amp; Outdoors</t>
  </si>
  <si>
    <t>Deck Of Cards</t>
  </si>
  <si>
    <t>Games</t>
  </si>
  <si>
    <t>Dino Egg</t>
  </si>
  <si>
    <t>Toys</t>
  </si>
  <si>
    <t>Dinosaur Figures</t>
  </si>
  <si>
    <t>Toys</t>
  </si>
  <si>
    <t>Etch A Sketch</t>
  </si>
  <si>
    <t>Art &amp; Crafts</t>
  </si>
  <si>
    <t>Foam Disk Launcher</t>
  </si>
  <si>
    <t>Sports &amp; Outdoors</t>
  </si>
  <si>
    <t>Gamer Headphones</t>
  </si>
  <si>
    <t>Electronics</t>
  </si>
  <si>
    <t>Glass Marbles</t>
  </si>
  <si>
    <t>Games</t>
  </si>
  <si>
    <t>Hot Wheels 5-Pack</t>
  </si>
  <si>
    <t>Toys</t>
  </si>
  <si>
    <t>Jenga</t>
  </si>
  <si>
    <t>Games</t>
  </si>
  <si>
    <t>Kids Makeup Kit</t>
  </si>
  <si>
    <t>Art &amp; Crafts</t>
  </si>
  <si>
    <t>Lego Bricks</t>
  </si>
  <si>
    <t>Toys</t>
  </si>
  <si>
    <t>Magic Sand</t>
  </si>
  <si>
    <t>Art &amp; Crafts</t>
  </si>
  <si>
    <t>Mini Basketball Hoop</t>
  </si>
  <si>
    <t>Sports &amp; Outdoors</t>
  </si>
  <si>
    <t>Mini Ping Pong Set</t>
  </si>
  <si>
    <t>Sports &amp; Outdoors</t>
  </si>
  <si>
    <t>Monopoly</t>
  </si>
  <si>
    <t>Games</t>
  </si>
  <si>
    <t>Mr. Potatohead</t>
  </si>
  <si>
    <t>Toys</t>
  </si>
  <si>
    <t>Nerf Gun</t>
  </si>
  <si>
    <t>Sports &amp; Outdoors</t>
  </si>
  <si>
    <t>PlayDoh Can</t>
  </si>
  <si>
    <t>Art &amp; Crafts</t>
  </si>
  <si>
    <t>PlayDoh Playset</t>
  </si>
  <si>
    <t>Art &amp; Crafts</t>
  </si>
  <si>
    <t>PlayDoh Toolkit</t>
  </si>
  <si>
    <t>Art &amp; Crafts</t>
  </si>
  <si>
    <t>Playfoam</t>
  </si>
  <si>
    <t>Art &amp; Crafts</t>
  </si>
  <si>
    <t>Plush Pony</t>
  </si>
  <si>
    <t>Toys</t>
  </si>
  <si>
    <t>Rubik's Cube</t>
  </si>
  <si>
    <t>Games</t>
  </si>
  <si>
    <t>Splash Balls</t>
  </si>
  <si>
    <t>Sports &amp; Outdoors</t>
  </si>
  <si>
    <t>Supersoaker Water Gun</t>
  </si>
  <si>
    <t>Sports &amp; Outdoors</t>
  </si>
  <si>
    <t>Teddy Bear</t>
  </si>
  <si>
    <t>Toys</t>
  </si>
  <si>
    <t>Toy Robot</t>
  </si>
  <si>
    <t>Electronics</t>
  </si>
  <si>
    <t>Uno Card Game</t>
  </si>
  <si>
    <t>Games</t>
  </si>
  <si>
    <t>Product_Cost2</t>
  </si>
  <si>
    <t>profit_margin</t>
  </si>
  <si>
    <t>Sum of Profit</t>
  </si>
  <si>
    <t>Row Labels</t>
  </si>
  <si>
    <t>Grand Total</t>
  </si>
  <si>
    <t>Count of Product_Name</t>
  </si>
  <si>
    <t>COST VERSES REVENUE</t>
  </si>
  <si>
    <t>CATEGORY PERFORMANCE</t>
  </si>
  <si>
    <t>Average of Product_Cost</t>
  </si>
  <si>
    <t>Average of Product_Cost2</t>
  </si>
  <si>
    <t>profit</t>
  </si>
  <si>
    <t>profit_tier</t>
  </si>
  <si>
    <t>High</t>
  </si>
  <si>
    <t xml:space="preserve">Low </t>
  </si>
  <si>
    <t>Medium</t>
  </si>
  <si>
    <t>PROFIT TIER</t>
  </si>
  <si>
    <t>Sum of %margin</t>
  </si>
  <si>
    <t>THE MARGIN</t>
  </si>
  <si>
    <t>PROFIT PER PRODUCT</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</si>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</sst>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KES]\ #,##0.00"/>
    <numFmt numFmtId="166" formatCode="_([$KES]\ * #,##0.00_);_([$KES]\ * \(#,##0.00\);_([$KES]\ * &quot;-&quot;??_);_(@_)"/>
  </numFmts>
  <fonts count="4" x14ac:knownFonts="1">
    <font>
      <sz val="10"/>
      <color rgb="FF000000"/>
      <name val="Roboto"/>
    </font>
    <font>
      <sz val="10"/>
      <name val="Roboto"/>
    </font>
    <font>
      <sz val="10"/>
      <color rgb="FF000000"/>
      <name val="Roboto"/>
    </font>
    <font>
      <b/>
      <sz val="16"/>
      <color rgb="FF000000"/>
      <name val="Roboto"/>
    </font>
  </fonts>
  <fills count="4">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s>
  <borders count="1">
    <border>
      <left/>
      <right/>
      <top/>
      <bottom/>
      <diagonal/>
    </border>
  </borders>
  <cellStyleXfs count="2">
    <xf numFmtId="0" fontId="0" fillId="0" borderId="0">
      <alignment vertical="top"/>
    </xf>
    <xf numFmtId="44" fontId="2" fillId="0" borderId="0" applyFont="0" applyFill="0" applyBorder="0" applyAlignment="0" applyProtection="0"/>
  </cellStyleXfs>
  <cellXfs count="19">
    <xf numFmtId="0" fontId="0" fillId="0" borderId="0" xfId="0">
      <alignment vertical="top"/>
    </xf>
    <xf numFmtId="165" fontId="0" fillId="0" borderId="0" xfId="0" applyNumberFormat="1">
      <alignment vertical="top"/>
    </xf>
    <xf numFmtId="165" fontId="1" fillId="0" borderId="0" xfId="0" applyNumberFormat="1" applyFont="1">
      <alignment vertical="top"/>
    </xf>
    <xf numFmtId="166" fontId="0" fillId="0" borderId="0" xfId="0" applyNumberFormat="1">
      <alignment vertical="top"/>
    </xf>
    <xf numFmtId="166" fontId="1" fillId="0" borderId="0" xfId="0" applyNumberFormat="1" applyFont="1">
      <alignment vertical="top"/>
    </xf>
    <xf numFmtId="166" fontId="0" fillId="0" borderId="0" xfId="1" applyNumberFormat="1" applyFont="1" applyAlignment="1">
      <alignment vertical="top"/>
    </xf>
    <xf numFmtId="10" fontId="0" fillId="0" borderId="0" xfId="0" applyNumberFormat="1">
      <alignment vertical="top"/>
    </xf>
    <xf numFmtId="0" fontId="0" fillId="0" borderId="0" xfId="0" applyNumberFormat="1">
      <alignment vertical="top"/>
    </xf>
    <xf numFmtId="0" fontId="0" fillId="0" borderId="0" xfId="0" pivotButton="1">
      <alignment vertical="top"/>
    </xf>
    <xf numFmtId="0" fontId="0" fillId="0" borderId="0" xfId="0" applyAlignment="1">
      <alignment horizontal="left" vertical="top"/>
    </xf>
    <xf numFmtId="2" fontId="0" fillId="0" borderId="0" xfId="0" applyNumberFormat="1">
      <alignment vertical="top"/>
    </xf>
    <xf numFmtId="2" fontId="0" fillId="0" borderId="0" xfId="0" pivotButton="1" applyNumberFormat="1">
      <alignment vertical="top"/>
    </xf>
    <xf numFmtId="4" fontId="0" fillId="0" borderId="0" xfId="0" applyNumberFormat="1">
      <alignment vertical="top"/>
    </xf>
    <xf numFmtId="2" fontId="0" fillId="0" borderId="0" xfId="0" applyNumberFormat="1" applyAlignment="1">
      <alignment horizontal="left" vertical="top"/>
    </xf>
    <xf numFmtId="0" fontId="0" fillId="2" borderId="0" xfId="0" applyFill="1">
      <alignment vertical="top"/>
    </xf>
    <xf numFmtId="0" fontId="3" fillId="3" borderId="0" xfId="0" applyFont="1" applyFill="1" applyAlignment="1">
      <alignment horizontal="center" vertical="top"/>
    </xf>
    <xf numFmtId="0" fontId="0" fillId="3" borderId="0" xfId="0" applyFill="1" applyAlignment="1">
      <alignment horizontal="center" vertical="top"/>
    </xf>
    <xf numFmtId="0" fontId="0" fillId="3" borderId="0" xfId="0" applyFill="1">
      <alignment vertical="top"/>
    </xf>
    <xf numFmtId="0" fontId="0" fillId="2" borderId="0" xfId="0" applyFill="1" applyBorder="1">
      <alignment vertical="top"/>
    </xf>
  </cellXfs>
  <cellStyles count="2">
    <cellStyle name="Currency" xfId="1" builtinId="4"/>
    <cellStyle name="Normal" xfId="0" builtinId="0" customBuiltin="1"/>
  </cellStyles>
  <dxfs count="185">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4" formatCode="0.00%"/>
    </dxf>
    <dxf>
      <numFmt numFmtId="165" formatCode="[$KES]\ #,##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KES]\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4" formatCode="#,##0.00"/>
    </dxf>
    <dxf>
      <numFmt numFmtId="14" formatCode="0.00%"/>
    </dxf>
    <dxf>
      <numFmt numFmtId="14" formatCode="0.00%"/>
    </dxf>
    <dxf>
      <numFmt numFmtId="0" formatCode="General"/>
    </dxf>
    <dxf>
      <font>
        <b val="0"/>
        <i val="0"/>
        <strike val="0"/>
        <condense val="0"/>
        <extend val="0"/>
        <outline val="0"/>
        <shadow val="0"/>
        <u val="none"/>
        <vertAlign val="baseline"/>
        <sz val="10"/>
        <color rgb="FF000000"/>
        <name val="Roboto"/>
        <scheme val="none"/>
      </font>
      <numFmt numFmtId="166" formatCode="_([$KES]\ * #,##0.00_);_([$KES]\ * \(#,##0.00\);_([$KES]\ * &quot;-&quot;??_);_(@_)"/>
      <alignment horizontal="general" vertical="top" textRotation="0" wrapText="0" indent="0" justifyLastLine="0" shrinkToFit="0" readingOrder="0"/>
    </dxf>
    <dxf>
      <numFmt numFmtId="14" formatCode="0.00%"/>
    </dxf>
    <dxf>
      <font>
        <b val="0"/>
        <i val="0"/>
        <strike val="0"/>
        <condense val="0"/>
        <extend val="0"/>
        <outline val="0"/>
        <shadow val="0"/>
        <u val="none"/>
        <vertAlign val="baseline"/>
        <sz val="10"/>
        <color auto="1"/>
        <name val="Roboto"/>
        <scheme val="none"/>
      </font>
      <numFmt numFmtId="166" formatCode="_([$KES]\ * #,##0.00_);_([$KES]\ * \(#,##0.00\);_([$KES]\ * &quot;-&quot;??_);_(@_)"/>
    </dxf>
    <dxf>
      <font>
        <b val="0"/>
        <i val="0"/>
        <strike val="0"/>
        <condense val="0"/>
        <extend val="0"/>
        <outline val="0"/>
        <shadow val="0"/>
        <u val="none"/>
        <vertAlign val="baseline"/>
        <sz val="10"/>
        <color auto="1"/>
        <name val="Roboto"/>
        <scheme val="none"/>
      </font>
      <numFmt numFmtId="165" formatCode="[$KES]\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excell.xlsx]PIVOT1!PivotTable4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PIVOT1!$B$70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PIVOT1!$A$71:$A$76</c:f>
              <c:strCache>
                <c:ptCount val="5"/>
                <c:pt idx="0">
                  <c:v>Art &amp; Crafts</c:v>
                </c:pt>
                <c:pt idx="1">
                  <c:v>Electronics</c:v>
                </c:pt>
                <c:pt idx="2">
                  <c:v>Games</c:v>
                </c:pt>
                <c:pt idx="3">
                  <c:v>Sports &amp; Outdoors</c:v>
                </c:pt>
                <c:pt idx="4">
                  <c:v>Toys</c:v>
                </c:pt>
              </c:strCache>
            </c:strRef>
          </c:cat>
          <c:val>
            <c:numRef>
              <c:f>PIVOT1!$B$71:$B$76</c:f>
              <c:numCache>
                <c:formatCode>0.00%</c:formatCode>
                <c:ptCount val="5"/>
                <c:pt idx="0">
                  <c:v>0.31452535264963788</c:v>
                </c:pt>
                <c:pt idx="1">
                  <c:v>0.3065999677263192</c:v>
                </c:pt>
                <c:pt idx="2">
                  <c:v>0.32349373230893658</c:v>
                </c:pt>
                <c:pt idx="3">
                  <c:v>0.32731693631347614</c:v>
                </c:pt>
                <c:pt idx="4">
                  <c:v>0.2710027100271003</c:v>
                </c:pt>
              </c:numCache>
            </c:numRef>
          </c:val>
          <c:smooth val="0"/>
          <c:extLst>
            <c:ext xmlns:c16="http://schemas.microsoft.com/office/drawing/2014/chart" uri="{C3380CC4-5D6E-409C-BE32-E72D297353CC}">
              <c16:uniqueId val="{00000000-3B44-496E-BD55-493092289F47}"/>
            </c:ext>
          </c:extLst>
        </c:ser>
        <c:dLbls>
          <c:showLegendKey val="0"/>
          <c:showVal val="0"/>
          <c:showCatName val="0"/>
          <c:showSerName val="0"/>
          <c:showPercent val="0"/>
          <c:showBubbleSize val="0"/>
        </c:dLbls>
        <c:marker val="1"/>
        <c:smooth val="0"/>
        <c:axId val="1451328896"/>
        <c:axId val="1451319744"/>
      </c:lineChart>
      <c:catAx>
        <c:axId val="145132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19744"/>
        <c:crosses val="autoZero"/>
        <c:auto val="1"/>
        <c:lblAlgn val="ctr"/>
        <c:lblOffset val="100"/>
        <c:noMultiLvlLbl val="0"/>
      </c:catAx>
      <c:valAx>
        <c:axId val="1451319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2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excell.xlsx]PIVOT1!PivotTable1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a:latin typeface="Arial Black" panose="020B0A04020102020204" pitchFamily="34" charset="0"/>
              </a:rPr>
              <a:t>TOTAL</a:t>
            </a:r>
            <a:r>
              <a:rPr lang="en-US" sz="1800" b="1" baseline="0">
                <a:latin typeface="Arial Black" panose="020B0A04020102020204" pitchFamily="34" charset="0"/>
              </a:rPr>
              <a:t> PROFIT BY CATEGORY</a:t>
            </a:r>
            <a:endParaRPr lang="en-US" sz="18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30885233755202"/>
          <c:y val="0.17791003053474702"/>
          <c:w val="0.68782783544102455"/>
          <c:h val="0.67773730386505426"/>
        </c:manualLayout>
      </c:layout>
      <c:barChart>
        <c:barDir val="bar"/>
        <c:grouping val="clustered"/>
        <c:varyColors val="0"/>
        <c:ser>
          <c:idx val="0"/>
          <c:order val="0"/>
          <c:tx>
            <c:strRef>
              <c:f>PIVOT1!$B$3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PIVOT1!$A$4:$A$9</c:f>
              <c:strCache>
                <c:ptCount val="5"/>
                <c:pt idx="0">
                  <c:v>Electronics</c:v>
                </c:pt>
                <c:pt idx="1">
                  <c:v>Games</c:v>
                </c:pt>
                <c:pt idx="2">
                  <c:v>Art &amp; Crafts</c:v>
                </c:pt>
                <c:pt idx="3">
                  <c:v>Sports &amp; Outdoors</c:v>
                </c:pt>
                <c:pt idx="4">
                  <c:v>Toys</c:v>
                </c:pt>
              </c:strCache>
            </c:strRef>
          </c:cat>
          <c:val>
            <c:numRef>
              <c:f>PIVOT1!$B$4:$B$9</c:f>
              <c:numCache>
                <c:formatCode>General</c:formatCode>
                <c:ptCount val="5"/>
                <c:pt idx="0">
                  <c:v>19</c:v>
                </c:pt>
                <c:pt idx="1">
                  <c:v>32</c:v>
                </c:pt>
                <c:pt idx="2">
                  <c:v>33</c:v>
                </c:pt>
                <c:pt idx="3">
                  <c:v>35</c:v>
                </c:pt>
                <c:pt idx="4">
                  <c:v>39</c:v>
                </c:pt>
              </c:numCache>
            </c:numRef>
          </c:val>
          <c:extLst>
            <c:ext xmlns:c16="http://schemas.microsoft.com/office/drawing/2014/chart" uri="{C3380CC4-5D6E-409C-BE32-E72D297353CC}">
              <c16:uniqueId val="{00000000-F3F9-4337-8DA0-57654267FBBA}"/>
            </c:ext>
          </c:extLst>
        </c:ser>
        <c:dLbls>
          <c:dLblPos val="inEnd"/>
          <c:showLegendKey val="0"/>
          <c:showVal val="1"/>
          <c:showCatName val="0"/>
          <c:showSerName val="0"/>
          <c:showPercent val="0"/>
          <c:showBubbleSize val="0"/>
        </c:dLbls>
        <c:gapWidth val="0"/>
        <c:overlap val="-35"/>
        <c:axId val="1093881648"/>
        <c:axId val="1351475632"/>
      </c:barChart>
      <c:catAx>
        <c:axId val="10938816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351475632"/>
        <c:crosses val="autoZero"/>
        <c:auto val="1"/>
        <c:lblAlgn val="ctr"/>
        <c:lblOffset val="100"/>
        <c:noMultiLvlLbl val="0"/>
      </c:catAx>
      <c:valAx>
        <c:axId val="135147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09388164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1200" b="1"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alpha val="84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excell.xlsx]PIVOT1!PivotTable2</c:name>
    <c:fmtId val="3"/>
  </c:pivotSource>
  <c:chart>
    <c:title>
      <c:tx>
        <c:rich>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r>
              <a:rPr lang="en-US" sz="1800" b="1">
                <a:latin typeface="Arial Black" panose="020B0A04020102020204" pitchFamily="34" charset="0"/>
              </a:rPr>
              <a:t>COST</a:t>
            </a:r>
            <a:r>
              <a:rPr lang="en-US" sz="1800" b="1" baseline="0">
                <a:latin typeface="Arial Black" panose="020B0A04020102020204" pitchFamily="34" charset="0"/>
              </a:rPr>
              <a:t> STRUCTURE VERSES SELLING PRICE</a:t>
            </a:r>
            <a:endParaRPr lang="en-US" sz="18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42718189638061E-2"/>
          <c:y val="0.10755449047129978"/>
          <c:w val="0.69483423248301479"/>
          <c:h val="0.50825997293816538"/>
        </c:manualLayout>
      </c:layout>
      <c:barChart>
        <c:barDir val="col"/>
        <c:grouping val="clustered"/>
        <c:varyColors val="0"/>
        <c:ser>
          <c:idx val="0"/>
          <c:order val="0"/>
          <c:tx>
            <c:strRef>
              <c:f>PIVOT1!$B$17</c:f>
              <c:strCache>
                <c:ptCount val="1"/>
                <c:pt idx="0">
                  <c:v>Average of Product_Cost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PIVOT1!$A$18:$A$23</c:f>
              <c:strCache>
                <c:ptCount val="5"/>
                <c:pt idx="0">
                  <c:v>Art &amp; Crafts</c:v>
                </c:pt>
                <c:pt idx="1">
                  <c:v>Electronics</c:v>
                </c:pt>
                <c:pt idx="2">
                  <c:v>Games</c:v>
                </c:pt>
                <c:pt idx="3">
                  <c:v>Sports &amp; Outdoors</c:v>
                </c:pt>
                <c:pt idx="4">
                  <c:v>Toys</c:v>
                </c:pt>
              </c:strCache>
            </c:strRef>
          </c:cat>
          <c:val>
            <c:numRef>
              <c:f>PIVOT1!$B$18:$B$23</c:f>
              <c:numCache>
                <c:formatCode>0.00</c:formatCode>
                <c:ptCount val="5"/>
                <c:pt idx="0">
                  <c:v>8.9899999999999984</c:v>
                </c:pt>
                <c:pt idx="1">
                  <c:v>14.323333333333332</c:v>
                </c:pt>
                <c:pt idx="2">
                  <c:v>8.3650000000000002</c:v>
                </c:pt>
                <c:pt idx="3">
                  <c:v>10.275714285714287</c:v>
                </c:pt>
                <c:pt idx="4">
                  <c:v>11.656666666666665</c:v>
                </c:pt>
              </c:numCache>
            </c:numRef>
          </c:val>
          <c:extLst>
            <c:ext xmlns:c16="http://schemas.microsoft.com/office/drawing/2014/chart" uri="{C3380CC4-5D6E-409C-BE32-E72D297353CC}">
              <c16:uniqueId val="{00000000-5841-4085-9032-32CCC866A4FA}"/>
            </c:ext>
          </c:extLst>
        </c:ser>
        <c:ser>
          <c:idx val="1"/>
          <c:order val="1"/>
          <c:tx>
            <c:strRef>
              <c:f>PIVOT1!$C$17</c:f>
              <c:strCache>
                <c:ptCount val="1"/>
                <c:pt idx="0">
                  <c:v>Average of Product_Cost2</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PIVOT1!$A$18:$A$23</c:f>
              <c:strCache>
                <c:ptCount val="5"/>
                <c:pt idx="0">
                  <c:v>Art &amp; Crafts</c:v>
                </c:pt>
                <c:pt idx="1">
                  <c:v>Electronics</c:v>
                </c:pt>
                <c:pt idx="2">
                  <c:v>Games</c:v>
                </c:pt>
                <c:pt idx="3">
                  <c:v>Sports &amp; Outdoors</c:v>
                </c:pt>
                <c:pt idx="4">
                  <c:v>Toys</c:v>
                </c:pt>
              </c:strCache>
            </c:strRef>
          </c:cat>
          <c:val>
            <c:numRef>
              <c:f>PIVOT1!$C$18:$C$23</c:f>
              <c:numCache>
                <c:formatCode>0.00</c:formatCode>
                <c:ptCount val="5"/>
                <c:pt idx="0">
                  <c:v>13.114999999999998</c:v>
                </c:pt>
                <c:pt idx="1">
                  <c:v>20.656666666666666</c:v>
                </c:pt>
                <c:pt idx="2">
                  <c:v>12.364999999999998</c:v>
                </c:pt>
                <c:pt idx="3">
                  <c:v>15.275714285714285</c:v>
                </c:pt>
                <c:pt idx="4">
                  <c:v>15.99</c:v>
                </c:pt>
              </c:numCache>
            </c:numRef>
          </c:val>
          <c:extLst>
            <c:ext xmlns:c16="http://schemas.microsoft.com/office/drawing/2014/chart" uri="{C3380CC4-5D6E-409C-BE32-E72D297353CC}">
              <c16:uniqueId val="{00000001-5841-4085-9032-32CCC866A4FA}"/>
            </c:ext>
          </c:extLst>
        </c:ser>
        <c:dLbls>
          <c:dLblPos val="inEnd"/>
          <c:showLegendKey val="0"/>
          <c:showVal val="1"/>
          <c:showCatName val="0"/>
          <c:showSerName val="0"/>
          <c:showPercent val="0"/>
          <c:showBubbleSize val="0"/>
        </c:dLbls>
        <c:gapWidth val="0"/>
        <c:axId val="1451325984"/>
        <c:axId val="1451316416"/>
      </c:barChart>
      <c:catAx>
        <c:axId val="1451325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451316416"/>
        <c:crosses val="autoZero"/>
        <c:auto val="1"/>
        <c:lblAlgn val="ctr"/>
        <c:lblOffset val="100"/>
        <c:noMultiLvlLbl val="0"/>
      </c:catAx>
      <c:valAx>
        <c:axId val="1451316416"/>
        <c:scaling>
          <c:orientation val="minMax"/>
        </c:scaling>
        <c:delete val="1"/>
        <c:axPos val="l"/>
        <c:numFmt formatCode="0.00" sourceLinked="1"/>
        <c:majorTickMark val="none"/>
        <c:minorTickMark val="none"/>
        <c:tickLblPos val="nextTo"/>
        <c:crossAx val="1451325984"/>
        <c:crosses val="autoZero"/>
        <c:crossBetween val="between"/>
      </c:valAx>
      <c:spPr>
        <a:noFill/>
        <a:ln w="25400">
          <a:noFill/>
        </a:ln>
        <a:effectLst/>
      </c:spPr>
    </c:plotArea>
    <c:legend>
      <c:legendPos val="r"/>
      <c:layout>
        <c:manualLayout>
          <c:xMode val="edge"/>
          <c:yMode val="edge"/>
          <c:x val="0.79923687466034232"/>
          <c:y val="9.1019464958184582E-2"/>
          <c:w val="0.19495991661836315"/>
          <c:h val="0.5746894409937888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excell.xlsx]PIVOT1!PivotTable3</c:name>
    <c:fmtId val="3"/>
  </c:pivotSource>
  <c:chart>
    <c:title>
      <c:tx>
        <c:rich>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r>
              <a:rPr lang="en-US" sz="1800" b="1">
                <a:latin typeface="Arial Black" panose="020B0A04020102020204" pitchFamily="34" charset="0"/>
              </a:rPr>
              <a:t>PROFIT</a:t>
            </a:r>
            <a:r>
              <a:rPr lang="en-US" sz="1800" b="1" baseline="0">
                <a:latin typeface="Arial Black" panose="020B0A04020102020204" pitchFamily="34" charset="0"/>
              </a:rPr>
              <a:t> PER PRODUCT</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25892876835774"/>
          <c:y val="0.15474963152128504"/>
          <c:w val="0.61145291160638815"/>
          <c:h val="0.72901168885420864"/>
        </c:manualLayout>
      </c:layout>
      <c:barChart>
        <c:barDir val="bar"/>
        <c:grouping val="clustered"/>
        <c:varyColors val="0"/>
        <c:ser>
          <c:idx val="0"/>
          <c:order val="0"/>
          <c:tx>
            <c:strRef>
              <c:f>PIVOT1!$B$29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PIVOT1!$A$30:$A$36</c:f>
              <c:strCache>
                <c:ptCount val="6"/>
                <c:pt idx="0">
                  <c:v>Jenga</c:v>
                </c:pt>
                <c:pt idx="1">
                  <c:v>Playfoam</c:v>
                </c:pt>
                <c:pt idx="2">
                  <c:v>Colorbuds</c:v>
                </c:pt>
                <c:pt idx="3">
                  <c:v>Etch A Sketch</c:v>
                </c:pt>
                <c:pt idx="4">
                  <c:v>Plush Pony</c:v>
                </c:pt>
                <c:pt idx="5">
                  <c:v>Mini Basketball Hoop</c:v>
                </c:pt>
              </c:strCache>
            </c:strRef>
          </c:cat>
          <c:val>
            <c:numRef>
              <c:f>PIVOT1!$B$30:$B$36</c:f>
              <c:numCache>
                <c:formatCode>General</c:formatCode>
                <c:ptCount val="6"/>
                <c:pt idx="0">
                  <c:v>7</c:v>
                </c:pt>
                <c:pt idx="1">
                  <c:v>7</c:v>
                </c:pt>
                <c:pt idx="2">
                  <c:v>8</c:v>
                </c:pt>
                <c:pt idx="3">
                  <c:v>9.9999999999999982</c:v>
                </c:pt>
                <c:pt idx="4">
                  <c:v>10.999999999999998</c:v>
                </c:pt>
                <c:pt idx="5">
                  <c:v>15.999999999999998</c:v>
                </c:pt>
              </c:numCache>
            </c:numRef>
          </c:val>
          <c:extLst>
            <c:ext xmlns:c16="http://schemas.microsoft.com/office/drawing/2014/chart" uri="{C3380CC4-5D6E-409C-BE32-E72D297353CC}">
              <c16:uniqueId val="{00000000-8F9B-4C3E-ABCA-5BBF0C777B9E}"/>
            </c:ext>
          </c:extLst>
        </c:ser>
        <c:dLbls>
          <c:dLblPos val="inEnd"/>
          <c:showLegendKey val="0"/>
          <c:showVal val="1"/>
          <c:showCatName val="0"/>
          <c:showSerName val="0"/>
          <c:showPercent val="0"/>
          <c:showBubbleSize val="0"/>
        </c:dLbls>
        <c:gapWidth val="0"/>
        <c:overlap val="-100"/>
        <c:axId val="1235828864"/>
        <c:axId val="1235833024"/>
      </c:barChart>
      <c:catAx>
        <c:axId val="1235828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235833024"/>
        <c:crosses val="autoZero"/>
        <c:auto val="1"/>
        <c:lblAlgn val="ctr"/>
        <c:lblOffset val="100"/>
        <c:noMultiLvlLbl val="0"/>
      </c:catAx>
      <c:valAx>
        <c:axId val="1235833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235828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excell.xlsx]PIVOT1!PivotTable5</c:name>
    <c:fmtId val="3"/>
  </c:pivotSource>
  <c:chart>
    <c:title>
      <c:tx>
        <c:rich>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r>
              <a:rPr lang="en-US" sz="1800" b="1">
                <a:latin typeface="Arial Black" panose="020B0A04020102020204" pitchFamily="34" charset="0"/>
              </a:rPr>
              <a:t>PROFIT TIER</a:t>
            </a:r>
          </a:p>
        </c:rich>
      </c:tx>
      <c:layout>
        <c:manualLayout>
          <c:xMode val="edge"/>
          <c:yMode val="edge"/>
          <c:x val="0.32150549440140835"/>
          <c:y val="3.8542389547223027E-2"/>
        </c:manualLayout>
      </c:layout>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173724287371052"/>
          <c:y val="0.20606372276270604"/>
          <c:w val="0.46730108954403954"/>
          <c:h val="0.68844357517408827"/>
        </c:manualLayout>
      </c:layout>
      <c:doughnutChart>
        <c:varyColors val="1"/>
        <c:ser>
          <c:idx val="0"/>
          <c:order val="0"/>
          <c:tx>
            <c:strRef>
              <c:f>PIVOT1!$E$30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4B-4599-9291-1762EF8682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4B-4599-9291-1762EF86825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4B-4599-9291-1762EF8682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PIVOT1!$D$31:$D$34</c:f>
              <c:strCache>
                <c:ptCount val="3"/>
                <c:pt idx="0">
                  <c:v>High</c:v>
                </c:pt>
                <c:pt idx="1">
                  <c:v>Low </c:v>
                </c:pt>
                <c:pt idx="2">
                  <c:v>Medium</c:v>
                </c:pt>
              </c:strCache>
            </c:strRef>
          </c:cat>
          <c:val>
            <c:numRef>
              <c:f>PIVOT1!$E$31:$E$34</c:f>
              <c:numCache>
                <c:formatCode>General</c:formatCode>
                <c:ptCount val="3"/>
                <c:pt idx="0">
                  <c:v>4</c:v>
                </c:pt>
                <c:pt idx="1">
                  <c:v>16</c:v>
                </c:pt>
                <c:pt idx="2">
                  <c:v>15</c:v>
                </c:pt>
              </c:numCache>
            </c:numRef>
          </c:val>
          <c:extLst>
            <c:ext xmlns:c16="http://schemas.microsoft.com/office/drawing/2014/chart" uri="{C3380CC4-5D6E-409C-BE32-E72D297353CC}">
              <c16:uniqueId val="{00000006-3F4B-4599-9291-1762EF86825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3.jpg"/><Relationship Id="rId5" Type="http://schemas.openxmlformats.org/officeDocument/2006/relationships/image" Target="../media/image2.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670560</xdr:colOff>
      <xdr:row>61</xdr:row>
      <xdr:rowOff>72390</xdr:rowOff>
    </xdr:from>
    <xdr:to>
      <xdr:col>4</xdr:col>
      <xdr:colOff>1478280</xdr:colOff>
      <xdr:row>73</xdr:row>
      <xdr:rowOff>76200</xdr:rowOff>
    </xdr:to>
    <xdr:graphicFrame macro="">
      <xdr:nvGraphicFramePr>
        <xdr:cNvPr id="6" name="Chart 5">
          <a:extLst>
            <a:ext uri="{FF2B5EF4-FFF2-40B4-BE49-F238E27FC236}">
              <a16:creationId xmlns:a16="http://schemas.microsoft.com/office/drawing/2014/main" id="{B35AC741-E3F4-4EBD-B936-1774C6D86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30480</xdr:rowOff>
    </xdr:from>
    <xdr:to>
      <xdr:col>27</xdr:col>
      <xdr:colOff>45720</xdr:colOff>
      <xdr:row>71</xdr:row>
      <xdr:rowOff>76200</xdr:rowOff>
    </xdr:to>
    <xdr:sp macro="" textlink="">
      <xdr:nvSpPr>
        <xdr:cNvPr id="19" name="Rectangle 18">
          <a:extLst>
            <a:ext uri="{FF2B5EF4-FFF2-40B4-BE49-F238E27FC236}">
              <a16:creationId xmlns:a16="http://schemas.microsoft.com/office/drawing/2014/main" id="{A9AF77D0-884B-4AAD-8EE2-CF8124486606}"/>
            </a:ext>
          </a:extLst>
        </xdr:cNvPr>
        <xdr:cNvSpPr/>
      </xdr:nvSpPr>
      <xdr:spPr>
        <a:xfrm>
          <a:off x="15240" y="30480"/>
          <a:ext cx="17991909" cy="120683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320040</xdr:colOff>
      <xdr:row>10</xdr:row>
      <xdr:rowOff>64578</xdr:rowOff>
    </xdr:from>
    <xdr:to>
      <xdr:col>6</xdr:col>
      <xdr:colOff>210150</xdr:colOff>
      <xdr:row>20</xdr:row>
      <xdr:rowOff>25831</xdr:rowOff>
    </xdr:to>
    <xdr:sp macro="" textlink="PIVOT1!G5">
      <xdr:nvSpPr>
        <xdr:cNvPr id="2" name="Rectangle: Rounded Corners 1">
          <a:extLst>
            <a:ext uri="{FF2B5EF4-FFF2-40B4-BE49-F238E27FC236}">
              <a16:creationId xmlns:a16="http://schemas.microsoft.com/office/drawing/2014/main" id="{C1A1489E-5303-4506-B821-AD74A4E2C4EF}"/>
            </a:ext>
          </a:extLst>
        </xdr:cNvPr>
        <xdr:cNvSpPr/>
      </xdr:nvSpPr>
      <xdr:spPr>
        <a:xfrm>
          <a:off x="320040" y="1740978"/>
          <a:ext cx="3913470" cy="163765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198717D-93F8-44A0-B0F1-0D74AA97012D}" type="TxLink">
            <a:rPr lang="en-US" sz="3200" b="1" i="0" u="none" strike="noStrike">
              <a:solidFill>
                <a:srgbClr val="000000"/>
              </a:solidFill>
              <a:latin typeface="Arial Black" panose="020B0A04020102020204" pitchFamily="34" charset="0"/>
              <a:ea typeface="Roboto"/>
            </a:rPr>
            <a:t>KES 158.00</a:t>
          </a:fld>
          <a:endParaRPr lang="en-US" sz="3200" b="1">
            <a:latin typeface="Arial Black" panose="020B0A04020102020204" pitchFamily="34" charset="0"/>
          </a:endParaRPr>
        </a:p>
      </xdr:txBody>
    </xdr:sp>
    <xdr:clientData/>
  </xdr:twoCellAnchor>
  <xdr:twoCellAnchor>
    <xdr:from>
      <xdr:col>6</xdr:col>
      <xdr:colOff>344837</xdr:colOff>
      <xdr:row>10</xdr:row>
      <xdr:rowOff>51661</xdr:rowOff>
    </xdr:from>
    <xdr:to>
      <xdr:col>12</xdr:col>
      <xdr:colOff>219560</xdr:colOff>
      <xdr:row>20</xdr:row>
      <xdr:rowOff>52399</xdr:rowOff>
    </xdr:to>
    <xdr:sp macro="" textlink="PIVOT1!G10">
      <xdr:nvSpPr>
        <xdr:cNvPr id="3" name="Rectangle: Rounded Corners 2">
          <a:extLst>
            <a:ext uri="{FF2B5EF4-FFF2-40B4-BE49-F238E27FC236}">
              <a16:creationId xmlns:a16="http://schemas.microsoft.com/office/drawing/2014/main" id="{08F1B1CE-FD0E-450A-BE4A-B5A6221EEA3A}"/>
            </a:ext>
          </a:extLst>
        </xdr:cNvPr>
        <xdr:cNvSpPr/>
      </xdr:nvSpPr>
      <xdr:spPr>
        <a:xfrm>
          <a:off x="4374396" y="1730644"/>
          <a:ext cx="3904283" cy="167972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E6DE021-3755-4225-9ADF-666C19036D2C}" type="TxLink">
            <a:rPr lang="en-US" sz="3200" b="0" i="0" u="none" strike="noStrike">
              <a:solidFill>
                <a:srgbClr val="000000"/>
              </a:solidFill>
              <a:latin typeface="Arial Black" panose="020B0A04020102020204" pitchFamily="34" charset="0"/>
              <a:ea typeface="Roboto"/>
            </a:rPr>
            <a:pPr algn="ctr"/>
            <a:t>30.58%</a:t>
          </a:fld>
          <a:endParaRPr lang="en-US" sz="3200">
            <a:latin typeface="Arial Black" panose="020B0A04020102020204" pitchFamily="34" charset="0"/>
          </a:endParaRPr>
        </a:p>
      </xdr:txBody>
    </xdr:sp>
    <xdr:clientData/>
  </xdr:twoCellAnchor>
  <xdr:twoCellAnchor>
    <xdr:from>
      <xdr:col>12</xdr:col>
      <xdr:colOff>374542</xdr:colOff>
      <xdr:row>10</xdr:row>
      <xdr:rowOff>77492</xdr:rowOff>
    </xdr:from>
    <xdr:to>
      <xdr:col>18</xdr:col>
      <xdr:colOff>658678</xdr:colOff>
      <xdr:row>20</xdr:row>
      <xdr:rowOff>76199</xdr:rowOff>
    </xdr:to>
    <xdr:sp macro="" textlink="PIVOT1!G13">
      <xdr:nvSpPr>
        <xdr:cNvPr id="4" name="Rectangle: Rounded Corners 3">
          <a:extLst>
            <a:ext uri="{FF2B5EF4-FFF2-40B4-BE49-F238E27FC236}">
              <a16:creationId xmlns:a16="http://schemas.microsoft.com/office/drawing/2014/main" id="{5E9D7D7A-8B0E-4840-B5FD-2D3C06DCADB5}"/>
            </a:ext>
          </a:extLst>
        </xdr:cNvPr>
        <xdr:cNvSpPr/>
      </xdr:nvSpPr>
      <xdr:spPr>
        <a:xfrm>
          <a:off x="8433661" y="1756475"/>
          <a:ext cx="4313695" cy="16776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063E8C4-8A07-4D3E-B449-1FBC8F4DCB11}" type="TxLink">
            <a:rPr lang="en-US" sz="3200" b="0" i="0" u="none" strike="noStrike">
              <a:solidFill>
                <a:srgbClr val="000000"/>
              </a:solidFill>
              <a:latin typeface="Arial Black" panose="020B0A04020102020204" pitchFamily="34" charset="0"/>
              <a:ea typeface="Roboto"/>
            </a:rPr>
            <a:pPr algn="ctr"/>
            <a:t>35</a:t>
          </a:fld>
          <a:endParaRPr lang="en-US" sz="3200">
            <a:latin typeface="Arial Black" panose="020B0A04020102020204" pitchFamily="34" charset="0"/>
          </a:endParaRPr>
        </a:p>
      </xdr:txBody>
    </xdr:sp>
    <xdr:clientData/>
  </xdr:twoCellAnchor>
  <xdr:twoCellAnchor>
    <xdr:from>
      <xdr:col>19</xdr:col>
      <xdr:colOff>154895</xdr:colOff>
      <xdr:row>10</xdr:row>
      <xdr:rowOff>50722</xdr:rowOff>
    </xdr:from>
    <xdr:to>
      <xdr:col>26</xdr:col>
      <xdr:colOff>536940</xdr:colOff>
      <xdr:row>20</xdr:row>
      <xdr:rowOff>62346</xdr:rowOff>
    </xdr:to>
    <xdr:sp macro="" textlink="PIVOT1!G16">
      <xdr:nvSpPr>
        <xdr:cNvPr id="5" name="Rectangle: Rounded Corners 4">
          <a:extLst>
            <a:ext uri="{FF2B5EF4-FFF2-40B4-BE49-F238E27FC236}">
              <a16:creationId xmlns:a16="http://schemas.microsoft.com/office/drawing/2014/main" id="{DB9B5980-93BB-4E18-A438-7546F2D6CA70}"/>
            </a:ext>
          </a:extLst>
        </xdr:cNvPr>
        <xdr:cNvSpPr/>
      </xdr:nvSpPr>
      <xdr:spPr>
        <a:xfrm>
          <a:off x="12790240" y="1713267"/>
          <a:ext cx="5037173" cy="167417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112D631-7138-4D16-B959-0133ED1F09D8}" type="TxLink">
            <a:rPr lang="en-US" sz="3200" b="1" i="0" u="none" strike="noStrike">
              <a:solidFill>
                <a:srgbClr val="000000"/>
              </a:solidFill>
              <a:latin typeface="Arial Black" panose="020B0A04020102020204" pitchFamily="34" charset="0"/>
              <a:ea typeface="Roboto"/>
            </a:rPr>
            <a:pPr algn="ctr"/>
            <a:t>KES 4.51</a:t>
          </a:fld>
          <a:endParaRPr lang="en-US" sz="3200" b="1">
            <a:latin typeface="Arial Black" panose="020B0A04020102020204" pitchFamily="34" charset="0"/>
          </a:endParaRPr>
        </a:p>
      </xdr:txBody>
    </xdr:sp>
    <xdr:clientData/>
  </xdr:twoCellAnchor>
  <xdr:twoCellAnchor>
    <xdr:from>
      <xdr:col>0</xdr:col>
      <xdr:colOff>106680</xdr:colOff>
      <xdr:row>20</xdr:row>
      <xdr:rowOff>91882</xdr:rowOff>
    </xdr:from>
    <xdr:to>
      <xdr:col>11</xdr:col>
      <xdr:colOff>472440</xdr:colOff>
      <xdr:row>46</xdr:row>
      <xdr:rowOff>60959</xdr:rowOff>
    </xdr:to>
    <xdr:graphicFrame macro="">
      <xdr:nvGraphicFramePr>
        <xdr:cNvPr id="6" name="Chart 5">
          <a:extLst>
            <a:ext uri="{FF2B5EF4-FFF2-40B4-BE49-F238E27FC236}">
              <a16:creationId xmlns:a16="http://schemas.microsoft.com/office/drawing/2014/main" id="{EEA26030-7AA6-4ED2-81F4-B365D4851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618210</xdr:colOff>
      <xdr:row>20</xdr:row>
      <xdr:rowOff>142207</xdr:rowOff>
    </xdr:from>
    <xdr:to>
      <xdr:col>22</xdr:col>
      <xdr:colOff>78441</xdr:colOff>
      <xdr:row>45</xdr:row>
      <xdr:rowOff>145473</xdr:rowOff>
    </xdr:to>
    <xdr:graphicFrame macro="">
      <xdr:nvGraphicFramePr>
        <xdr:cNvPr id="7" name="Chart 6">
          <a:extLst>
            <a:ext uri="{FF2B5EF4-FFF2-40B4-BE49-F238E27FC236}">
              <a16:creationId xmlns:a16="http://schemas.microsoft.com/office/drawing/2014/main" id="{15DF28FD-2521-4F42-950C-7FE43EB8A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xdr:colOff>
      <xdr:row>46</xdr:row>
      <xdr:rowOff>54429</xdr:rowOff>
    </xdr:from>
    <xdr:to>
      <xdr:col>22</xdr:col>
      <xdr:colOff>185057</xdr:colOff>
      <xdr:row>71</xdr:row>
      <xdr:rowOff>15240</xdr:rowOff>
    </xdr:to>
    <xdr:graphicFrame macro="">
      <xdr:nvGraphicFramePr>
        <xdr:cNvPr id="8" name="Chart 7">
          <a:extLst>
            <a:ext uri="{FF2B5EF4-FFF2-40B4-BE49-F238E27FC236}">
              <a16:creationId xmlns:a16="http://schemas.microsoft.com/office/drawing/2014/main" id="{731A89C2-F871-4D0F-B4C6-BC93CE7B5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91441</xdr:colOff>
      <xdr:row>46</xdr:row>
      <xdr:rowOff>110836</xdr:rowOff>
    </xdr:from>
    <xdr:to>
      <xdr:col>11</xdr:col>
      <xdr:colOff>522515</xdr:colOff>
      <xdr:row>71</xdr:row>
      <xdr:rowOff>30480</xdr:rowOff>
    </xdr:to>
    <xdr:graphicFrame macro="">
      <xdr:nvGraphicFramePr>
        <xdr:cNvPr id="9" name="Chart 8">
          <a:extLst>
            <a:ext uri="{FF2B5EF4-FFF2-40B4-BE49-F238E27FC236}">
              <a16:creationId xmlns:a16="http://schemas.microsoft.com/office/drawing/2014/main" id="{D259BC0F-DE58-479E-9FA4-D96045D97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184296</xdr:colOff>
      <xdr:row>20</xdr:row>
      <xdr:rowOff>124691</xdr:rowOff>
    </xdr:from>
    <xdr:to>
      <xdr:col>26</xdr:col>
      <xdr:colOff>600308</xdr:colOff>
      <xdr:row>70</xdr:row>
      <xdr:rowOff>113420</xdr:rowOff>
    </xdr:to>
    <mc:AlternateContent xmlns:mc="http://schemas.openxmlformats.org/markup-compatibility/2006">
      <mc:Choice xmlns:a14="http://schemas.microsoft.com/office/drawing/2010/main" Requires="a14">
        <xdr:graphicFrame macro="">
          <xdr:nvGraphicFramePr>
            <xdr:cNvPr id="10" name="Product_Category">
              <a:extLst>
                <a:ext uri="{FF2B5EF4-FFF2-40B4-BE49-F238E27FC236}">
                  <a16:creationId xmlns:a16="http://schemas.microsoft.com/office/drawing/2014/main" id="{6673A1CC-332D-489E-B3B7-93A3E09D1B5A}"/>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4852796" y="3511358"/>
              <a:ext cx="3083012" cy="8455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271221</xdr:colOff>
      <xdr:row>0</xdr:row>
      <xdr:rowOff>25831</xdr:rowOff>
    </xdr:from>
    <xdr:to>
      <xdr:col>26</xdr:col>
      <xdr:colOff>609601</xdr:colOff>
      <xdr:row>9</xdr:row>
      <xdr:rowOff>142068</xdr:rowOff>
    </xdr:to>
    <xdr:sp macro="" textlink="">
      <xdr:nvSpPr>
        <xdr:cNvPr id="11" name="Rectangle 10">
          <a:extLst>
            <a:ext uri="{FF2B5EF4-FFF2-40B4-BE49-F238E27FC236}">
              <a16:creationId xmlns:a16="http://schemas.microsoft.com/office/drawing/2014/main" id="{6967D2C7-978E-4A7F-9F55-FCA6ACBFD92A}"/>
            </a:ext>
          </a:extLst>
        </xdr:cNvPr>
        <xdr:cNvSpPr/>
      </xdr:nvSpPr>
      <xdr:spPr>
        <a:xfrm>
          <a:off x="2931294" y="25831"/>
          <a:ext cx="14968780" cy="1612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oneCellAnchor>
    <xdr:from>
      <xdr:col>4</xdr:col>
      <xdr:colOff>361627</xdr:colOff>
      <xdr:row>0</xdr:row>
      <xdr:rowOff>0</xdr:rowOff>
    </xdr:from>
    <xdr:ext cx="14670555" cy="1459424"/>
    <xdr:sp macro="" textlink="">
      <xdr:nvSpPr>
        <xdr:cNvPr id="12" name="TextBox 11">
          <a:extLst>
            <a:ext uri="{FF2B5EF4-FFF2-40B4-BE49-F238E27FC236}">
              <a16:creationId xmlns:a16="http://schemas.microsoft.com/office/drawing/2014/main" id="{514BEF20-9768-466D-B1E9-C3D415AF41F8}"/>
            </a:ext>
          </a:extLst>
        </xdr:cNvPr>
        <xdr:cNvSpPr txBox="1"/>
      </xdr:nvSpPr>
      <xdr:spPr>
        <a:xfrm>
          <a:off x="3021700" y="0"/>
          <a:ext cx="14670555" cy="1459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3200" b="1">
              <a:latin typeface="Arial Black" panose="020B0A04020102020204" pitchFamily="34" charset="0"/>
            </a:rPr>
            <a:t>RETAIL</a:t>
          </a:r>
          <a:r>
            <a:rPr lang="en-US" sz="3200" b="1" baseline="0">
              <a:latin typeface="Arial Black" panose="020B0A04020102020204" pitchFamily="34" charset="0"/>
            </a:rPr>
            <a:t> INVENTORY PROFITABILITY AND MARGIN ANALYSIS</a:t>
          </a:r>
        </a:p>
        <a:p>
          <a:pPr algn="ctr"/>
          <a:r>
            <a:rPr lang="en-US" sz="3200" b="1" baseline="0">
              <a:latin typeface="Arial Black" panose="020B0A04020102020204" pitchFamily="34" charset="0"/>
            </a:rPr>
            <a:t>PROJECT.</a:t>
          </a:r>
          <a:endParaRPr lang="en-US" sz="3200" b="1">
            <a:latin typeface="Arial Black" panose="020B0A04020102020204" pitchFamily="34" charset="0"/>
          </a:endParaRPr>
        </a:p>
      </xdr:txBody>
    </xdr:sp>
    <xdr:clientData/>
  </xdr:oneCellAnchor>
  <xdr:oneCellAnchor>
    <xdr:from>
      <xdr:col>1</xdr:col>
      <xdr:colOff>645761</xdr:colOff>
      <xdr:row>11</xdr:row>
      <xdr:rowOff>12915</xdr:rowOff>
    </xdr:from>
    <xdr:ext cx="2279407" cy="453970"/>
    <xdr:sp macro="" textlink="">
      <xdr:nvSpPr>
        <xdr:cNvPr id="13" name="TextBox 12">
          <a:extLst>
            <a:ext uri="{FF2B5EF4-FFF2-40B4-BE49-F238E27FC236}">
              <a16:creationId xmlns:a16="http://schemas.microsoft.com/office/drawing/2014/main" id="{57BEB59F-CE67-4211-AE7D-09F38120A026}"/>
            </a:ext>
          </a:extLst>
        </xdr:cNvPr>
        <xdr:cNvSpPr txBox="1"/>
      </xdr:nvSpPr>
      <xdr:spPr>
        <a:xfrm>
          <a:off x="1317354" y="1859796"/>
          <a:ext cx="2279407" cy="4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latin typeface="Arial Black" panose="020B0A04020102020204" pitchFamily="34" charset="0"/>
            </a:rPr>
            <a:t>TOTAL PROFIT</a:t>
          </a:r>
        </a:p>
      </xdr:txBody>
    </xdr:sp>
    <xdr:clientData/>
  </xdr:oneCellAnchor>
  <xdr:oneCellAnchor>
    <xdr:from>
      <xdr:col>7</xdr:col>
      <xdr:colOff>180813</xdr:colOff>
      <xdr:row>11</xdr:row>
      <xdr:rowOff>12916</xdr:rowOff>
    </xdr:from>
    <xdr:ext cx="3304879" cy="453970"/>
    <xdr:sp macro="" textlink="">
      <xdr:nvSpPr>
        <xdr:cNvPr id="14" name="TextBox 13">
          <a:extLst>
            <a:ext uri="{FF2B5EF4-FFF2-40B4-BE49-F238E27FC236}">
              <a16:creationId xmlns:a16="http://schemas.microsoft.com/office/drawing/2014/main" id="{C4C3A0AC-DD22-445D-A9F8-8D5C61DC14D7}"/>
            </a:ext>
          </a:extLst>
        </xdr:cNvPr>
        <xdr:cNvSpPr txBox="1"/>
      </xdr:nvSpPr>
      <xdr:spPr>
        <a:xfrm>
          <a:off x="4881966" y="1859797"/>
          <a:ext cx="3304879" cy="4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latin typeface="Arial Black" panose="020B0A04020102020204" pitchFamily="34" charset="0"/>
            </a:rPr>
            <a:t>PORTOFOLIO MARGIN</a:t>
          </a:r>
        </a:p>
      </xdr:txBody>
    </xdr:sp>
    <xdr:clientData/>
  </xdr:oneCellAnchor>
  <xdr:oneCellAnchor>
    <xdr:from>
      <xdr:col>14</xdr:col>
      <xdr:colOff>322881</xdr:colOff>
      <xdr:row>11</xdr:row>
      <xdr:rowOff>77492</xdr:rowOff>
    </xdr:from>
    <xdr:ext cx="2108141" cy="453970"/>
    <xdr:sp macro="" textlink="">
      <xdr:nvSpPr>
        <xdr:cNvPr id="15" name="TextBox 14">
          <a:extLst>
            <a:ext uri="{FF2B5EF4-FFF2-40B4-BE49-F238E27FC236}">
              <a16:creationId xmlns:a16="http://schemas.microsoft.com/office/drawing/2014/main" id="{561DF9FC-E8DD-4D4D-91C2-4A0C15407772}"/>
            </a:ext>
          </a:extLst>
        </xdr:cNvPr>
        <xdr:cNvSpPr txBox="1"/>
      </xdr:nvSpPr>
      <xdr:spPr>
        <a:xfrm>
          <a:off x="9725186" y="1924373"/>
          <a:ext cx="2108141" cy="4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latin typeface="Arial Black" panose="020B0A04020102020204" pitchFamily="34" charset="0"/>
            </a:rPr>
            <a:t>ACTIVE SKUs</a:t>
          </a:r>
        </a:p>
      </xdr:txBody>
    </xdr:sp>
    <xdr:clientData/>
  </xdr:oneCellAnchor>
  <xdr:oneCellAnchor>
    <xdr:from>
      <xdr:col>21</xdr:col>
      <xdr:colOff>568271</xdr:colOff>
      <xdr:row>11</xdr:row>
      <xdr:rowOff>51662</xdr:rowOff>
    </xdr:from>
    <xdr:ext cx="1937325" cy="453970"/>
    <xdr:sp macro="" textlink="">
      <xdr:nvSpPr>
        <xdr:cNvPr id="17" name="TextBox 16">
          <a:extLst>
            <a:ext uri="{FF2B5EF4-FFF2-40B4-BE49-F238E27FC236}">
              <a16:creationId xmlns:a16="http://schemas.microsoft.com/office/drawing/2014/main" id="{2DEC55DB-DB4D-4067-A2ED-909551DD2672}"/>
            </a:ext>
          </a:extLst>
        </xdr:cNvPr>
        <xdr:cNvSpPr txBox="1"/>
      </xdr:nvSpPr>
      <xdr:spPr>
        <a:xfrm>
          <a:off x="14671729" y="1898543"/>
          <a:ext cx="1937325" cy="4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latin typeface="Arial Black" panose="020B0A04020102020204" pitchFamily="34" charset="0"/>
            </a:rPr>
            <a:t>AVG</a:t>
          </a:r>
          <a:r>
            <a:rPr lang="en-US" sz="2000" baseline="0">
              <a:latin typeface="Arial Black" panose="020B0A04020102020204" pitchFamily="34" charset="0"/>
            </a:rPr>
            <a:t> PROFIT</a:t>
          </a:r>
          <a:endParaRPr lang="en-US" sz="2000">
            <a:latin typeface="Arial Black" panose="020B0A04020102020204" pitchFamily="34" charset="0"/>
          </a:endParaRPr>
        </a:p>
      </xdr:txBody>
    </xdr:sp>
    <xdr:clientData/>
  </xdr:oneCellAnchor>
  <xdr:twoCellAnchor editAs="oneCell">
    <xdr:from>
      <xdr:col>0</xdr:col>
      <xdr:colOff>77056</xdr:colOff>
      <xdr:row>0</xdr:row>
      <xdr:rowOff>0</xdr:rowOff>
    </xdr:from>
    <xdr:to>
      <xdr:col>4</xdr:col>
      <xdr:colOff>196921</xdr:colOff>
      <xdr:row>9</xdr:row>
      <xdr:rowOff>136988</xdr:rowOff>
    </xdr:to>
    <xdr:pic>
      <xdr:nvPicPr>
        <xdr:cNvPr id="21" name="Picture 20">
          <a:extLst>
            <a:ext uri="{FF2B5EF4-FFF2-40B4-BE49-F238E27FC236}">
              <a16:creationId xmlns:a16="http://schemas.microsoft.com/office/drawing/2014/main" id="{88E5A6EA-F73C-4436-9BD3-FEB0C674F52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056" y="0"/>
          <a:ext cx="2791146" cy="1678112"/>
        </a:xfrm>
        <a:prstGeom prst="rect">
          <a:avLst/>
        </a:prstGeom>
      </xdr:spPr>
    </xdr:pic>
    <xdr:clientData/>
  </xdr:twoCellAnchor>
  <xdr:twoCellAnchor editAs="oneCell">
    <xdr:from>
      <xdr:col>22</xdr:col>
      <xdr:colOff>212913</xdr:colOff>
      <xdr:row>45</xdr:row>
      <xdr:rowOff>156882</xdr:rowOff>
    </xdr:from>
    <xdr:to>
      <xdr:col>27</xdr:col>
      <xdr:colOff>44824</xdr:colOff>
      <xdr:row>72</xdr:row>
      <xdr:rowOff>0</xdr:rowOff>
    </xdr:to>
    <xdr:pic>
      <xdr:nvPicPr>
        <xdr:cNvPr id="23" name="Picture 22">
          <a:extLst>
            <a:ext uri="{FF2B5EF4-FFF2-40B4-BE49-F238E27FC236}">
              <a16:creationId xmlns:a16="http://schemas.microsoft.com/office/drawing/2014/main" id="{E09920A6-46E6-4703-B5EB-855340DAE30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827682" y="8069959"/>
          <a:ext cx="3153450" cy="45909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205740</xdr:colOff>
      <xdr:row>6</xdr:row>
      <xdr:rowOff>53340</xdr:rowOff>
    </xdr:from>
    <xdr:ext cx="4960620" cy="13787424"/>
    <xdr:sp macro="" textlink="">
      <xdr:nvSpPr>
        <xdr:cNvPr id="2" name="TextBox 1">
          <a:extLst>
            <a:ext uri="{FF2B5EF4-FFF2-40B4-BE49-F238E27FC236}">
              <a16:creationId xmlns:a16="http://schemas.microsoft.com/office/drawing/2014/main" id="{FBED7880-20F0-4ECD-A58E-0CFCED5F8176}"/>
            </a:ext>
          </a:extLst>
        </xdr:cNvPr>
        <xdr:cNvSpPr txBox="1"/>
      </xdr:nvSpPr>
      <xdr:spPr>
        <a:xfrm>
          <a:off x="411480" y="1059180"/>
          <a:ext cx="4960620" cy="13787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atin typeface="Arial Black" panose="020B0A04020102020204" pitchFamily="34" charset="0"/>
            </a:rPr>
            <a:t>1. Executive Summary</a:t>
          </a:r>
        </a:p>
        <a:p>
          <a:r>
            <a:rPr lang="en-US"/>
            <a:t>This analysis evaluates a retail product portfolio consisting of 35 distinct stock keeping units (SKUs) to identify profitability drivers and cost inefficiencies.</a:t>
          </a:r>
        </a:p>
        <a:p>
          <a:r>
            <a:rPr lang="en-US"/>
            <a:t>The current portfolio generates a </a:t>
          </a:r>
          <a:r>
            <a:rPr lang="en-US" b="1"/>
            <a:t>Total Potential Profit of KES 158.00</a:t>
          </a:r>
          <a:r>
            <a:rPr lang="en-US"/>
            <a:t> with an aggregate </a:t>
          </a:r>
          <a:r>
            <a:rPr lang="en-US" b="1"/>
            <a:t>Profit Margin of 30.58%</a:t>
          </a:r>
          <a:r>
            <a:rPr lang="en-US"/>
            <a:t>. The data reveals a significant reliance on volume-based sales, as </a:t>
          </a:r>
          <a:r>
            <a:rPr lang="en-US" b="1"/>
            <a:t>46%</a:t>
          </a:r>
          <a:r>
            <a:rPr lang="en-US"/>
            <a:t> of the inventory consists of "Low Profit" items. The analysis recommends a strategic pivot towards high-efficiency categories like </a:t>
          </a:r>
          <a:r>
            <a:rPr lang="en-US" i="1"/>
            <a:t>Sports &amp; Outdoors</a:t>
          </a:r>
          <a:r>
            <a:rPr lang="en-US"/>
            <a:t> and a pricing review of </a:t>
          </a:r>
          <a:r>
            <a:rPr lang="en-US" i="1"/>
            <a:t>Electronics</a:t>
          </a:r>
          <a:r>
            <a:rPr lang="en-US"/>
            <a:t> to improve the </a:t>
          </a:r>
          <a:r>
            <a:rPr lang="en-US" b="1"/>
            <a:t>Average Profit per Unit (currently KES 4.51)</a:t>
          </a:r>
          <a:r>
            <a:rPr lang="en-US"/>
            <a:t>.</a:t>
          </a:r>
        </a:p>
        <a:p>
          <a:r>
            <a:rPr lang="en-US" b="1">
              <a:latin typeface="Arial Black" panose="020B0A04020102020204" pitchFamily="34" charset="0"/>
            </a:rPr>
            <a:t>2. Business Problem &amp; Objectives</a:t>
          </a:r>
        </a:p>
        <a:p>
          <a:r>
            <a:rPr lang="en-US"/>
            <a:t>The goal of this project was to transform raw inventory data into an interactive dashboard to answer critical management questions:</a:t>
          </a:r>
        </a:p>
        <a:p>
          <a:r>
            <a:rPr lang="en-US"/>
            <a:t>Which product categories yield the highest return on investment?</a:t>
          </a:r>
        </a:p>
        <a:p>
          <a:r>
            <a:rPr lang="en-US"/>
            <a:t>Is the current pricing strategy (Markup) consistent across all departments?</a:t>
          </a:r>
        </a:p>
        <a:p>
          <a:r>
            <a:rPr lang="en-US"/>
            <a:t>What is the risk exposure regarding low-margin inventory?</a:t>
          </a:r>
        </a:p>
        <a:p>
          <a:r>
            <a:rPr lang="en-US" b="1">
              <a:latin typeface="Arial Black" panose="020B0A04020102020204" pitchFamily="34" charset="0"/>
            </a:rPr>
            <a:t>3. Methodology</a:t>
          </a:r>
        </a:p>
        <a:p>
          <a:r>
            <a:rPr lang="en-US" b="1"/>
            <a:t>Data Transformation:</a:t>
          </a:r>
          <a:endParaRPr lang="en-US"/>
        </a:p>
        <a:p>
          <a:r>
            <a:rPr lang="en-US" b="1"/>
            <a:t>Calculated Fields:</a:t>
          </a:r>
          <a:r>
            <a:rPr lang="en-US"/>
            <a:t> Implemented a Profit Margin % calculation (Sum of Profit / Sum of Selling Price) within Pivot Tables to ensure weighted accuracy rather than simple averages.</a:t>
          </a:r>
        </a:p>
        <a:p>
          <a:r>
            <a:rPr lang="en-US" b="1"/>
            <a:t>Segmentation Logic:</a:t>
          </a:r>
          <a:r>
            <a:rPr lang="en-US"/>
            <a:t> Used nested IF functions to classify products into three tiers:</a:t>
          </a:r>
        </a:p>
        <a:p>
          <a:pPr lvl="1"/>
          <a:r>
            <a:rPr lang="en-US" b="1"/>
            <a:t>Low:</a:t>
          </a:r>
          <a:r>
            <a:rPr lang="en-US"/>
            <a:t> &lt; KES 4.00 profit</a:t>
          </a:r>
        </a:p>
        <a:p>
          <a:pPr lvl="1"/>
          <a:r>
            <a:rPr lang="en-US" b="1"/>
            <a:t>Medium:</a:t>
          </a:r>
          <a:r>
            <a:rPr lang="en-US"/>
            <a:t> KES 4.00 - KES 7.99 profit</a:t>
          </a:r>
        </a:p>
        <a:p>
          <a:pPr lvl="1"/>
          <a:r>
            <a:rPr lang="en-US" b="1"/>
            <a:t>High:</a:t>
          </a:r>
          <a:r>
            <a:rPr lang="en-US"/>
            <a:t> &gt; KES 8.00 profit</a:t>
          </a:r>
        </a:p>
        <a:p>
          <a:r>
            <a:rPr lang="en-US" b="1"/>
            <a:t>Dashboard Development:</a:t>
          </a:r>
          <a:endParaRPr lang="en-US"/>
        </a:p>
        <a:p>
          <a:r>
            <a:rPr lang="en-US"/>
            <a:t>Built a dynamic Excel Dashboard featuring </a:t>
          </a:r>
          <a:r>
            <a:rPr lang="en-US" b="1"/>
            <a:t>4 Live KPIs</a:t>
          </a:r>
          <a:r>
            <a:rPr lang="en-US"/>
            <a:t> linked via GETPIVOTDATA functions.</a:t>
          </a:r>
        </a:p>
        <a:p>
          <a:r>
            <a:rPr lang="en-US"/>
            <a:t>Integrated </a:t>
          </a:r>
          <a:r>
            <a:rPr lang="en-US" b="1"/>
            <a:t>Slicers</a:t>
          </a:r>
          <a:r>
            <a:rPr lang="en-US"/>
            <a:t> for real-time filtering by Category.</a:t>
          </a:r>
        </a:p>
        <a:p>
          <a:r>
            <a:rPr lang="en-US"/>
            <a:t>Visualized data using Bar Charts for performance ranking and Doughnut Charts for portfolio composition.</a:t>
          </a:r>
        </a:p>
        <a:p>
          <a:r>
            <a:rPr lang="en-US" b="1">
              <a:latin typeface="Arial Black" panose="020B0A04020102020204" pitchFamily="34" charset="0"/>
            </a:rPr>
            <a:t>4. Key Findings &amp; Insights</a:t>
          </a:r>
        </a:p>
        <a:p>
          <a:r>
            <a:rPr lang="en-US" b="1"/>
            <a:t>🔹 Category Performance: Volume vs. Efficiency</a:t>
          </a:r>
        </a:p>
        <a:p>
          <a:r>
            <a:rPr lang="en-US"/>
            <a:t>There is a clear distinction between volume drivers and profit drivers:</a:t>
          </a:r>
        </a:p>
        <a:p>
          <a:r>
            <a:rPr lang="en-US" b="1"/>
            <a:t>Volume Leader (Toys):</a:t>
          </a:r>
          <a:r>
            <a:rPr lang="en-US"/>
            <a:t> This category contributes the most raw profit (</a:t>
          </a:r>
          <a:r>
            <a:rPr lang="en-US" b="1"/>
            <a:t>KES 39.00</a:t>
          </a:r>
          <a:r>
            <a:rPr lang="en-US"/>
            <a:t>) due to a high SKU count (9 items). However, its margin is lower at </a:t>
          </a:r>
          <a:r>
            <a:rPr lang="en-US" b="1"/>
            <a:t>27.10%</a:t>
          </a:r>
          <a:r>
            <a:rPr lang="en-US"/>
            <a:t>.</a:t>
          </a:r>
        </a:p>
        <a:p>
          <a:r>
            <a:rPr lang="en-US" b="1"/>
            <a:t>Efficiency Leader (Sports &amp; Outdoors):</a:t>
          </a:r>
          <a:r>
            <a:rPr lang="en-US"/>
            <a:t> This category is the most efficient. It generates nearly the same profit (</a:t>
          </a:r>
          <a:r>
            <a:rPr lang="en-US" b="1"/>
            <a:t>KES 35.00</a:t>
          </a:r>
          <a:r>
            <a:rPr lang="en-US"/>
            <a:t>) but with a significantly higher margin of </a:t>
          </a:r>
          <a:r>
            <a:rPr lang="en-US" b="1"/>
            <a:t>32.73%</a:t>
          </a:r>
          <a:r>
            <a:rPr lang="en-US"/>
            <a:t>. Every KES spent stocking "Sports" items returns more profit than "Toys."</a:t>
          </a:r>
        </a:p>
        <a:p>
          <a:r>
            <a:rPr lang="en-US" b="1"/>
            <a:t>🔹 The "Pareto" Risk (Profit Tiers)</a:t>
          </a:r>
        </a:p>
        <a:p>
          <a:r>
            <a:rPr lang="en-US"/>
            <a:t>The portfolio is heavily weighted towards low-value items:</a:t>
          </a:r>
        </a:p>
        <a:p>
          <a:r>
            <a:rPr lang="en-US" b="1"/>
            <a:t>Low Profit Saturation:</a:t>
          </a:r>
          <a:r>
            <a:rPr lang="en-US"/>
            <a:t> </a:t>
          </a:r>
          <a:r>
            <a:rPr lang="en-US" b="1"/>
            <a:t>16 out of 35 items (46%)</a:t>
          </a:r>
          <a:r>
            <a:rPr lang="en-US"/>
            <a:t> earn less than KES 4.00 per unit.</a:t>
          </a:r>
        </a:p>
        <a:p>
          <a:r>
            <a:rPr lang="en-US" b="1"/>
            <a:t>Star Products:</a:t>
          </a:r>
          <a:r>
            <a:rPr lang="en-US"/>
            <a:t> Only </a:t>
          </a:r>
          <a:r>
            <a:rPr lang="en-US" b="1"/>
            <a:t>4 items (11%)</a:t>
          </a:r>
          <a:r>
            <a:rPr lang="en-US"/>
            <a:t> are in the "High Profit" tier. The </a:t>
          </a:r>
          <a:r>
            <a:rPr lang="en-US" i="1"/>
            <a:t>Mini Basketball Hoop</a:t>
          </a:r>
          <a:r>
            <a:rPr lang="en-US"/>
            <a:t> is the standout performer, earning </a:t>
          </a:r>
          <a:r>
            <a:rPr lang="en-US" b="1"/>
            <a:t>KES 16.00</a:t>
          </a:r>
          <a:r>
            <a:rPr lang="en-US"/>
            <a:t> per unit—four times the portfolio average.</a:t>
          </a:r>
        </a:p>
        <a:p>
          <a:r>
            <a:rPr lang="en-US" b="1"/>
            <a:t>🔹 Cost Structure Analysis</a:t>
          </a:r>
        </a:p>
        <a:p>
          <a:r>
            <a:rPr lang="en-US" b="1"/>
            <a:t>Electronics:</a:t>
          </a:r>
          <a:r>
            <a:rPr lang="en-US"/>
            <a:t> This category requires the highest capital investment (Avg Cost: KES 14.32) but yields the lowest total profit (KES 19.00). The current pricing strategy for Electronics is underperforming relative to the cost of goods sold.</a:t>
          </a:r>
        </a:p>
        <a:p>
          <a:r>
            <a:rPr lang="en-US" b="1">
              <a:latin typeface="Arial Black" panose="020B0A04020102020204" pitchFamily="34" charset="0"/>
            </a:rPr>
            <a:t>5. Strategic Recommendations</a:t>
          </a:r>
        </a:p>
        <a:p>
          <a:r>
            <a:rPr lang="en-US"/>
            <a:t>Based on the data evidence, I recommend the following three actions:</a:t>
          </a:r>
        </a:p>
        <a:p>
          <a:r>
            <a:rPr lang="en-US" b="1"/>
            <a:t>1. "Promote" the Sports Category</a:t>
          </a:r>
          <a:r>
            <a:rPr lang="en-US"/>
            <a:t> Shift marketing and restocking budget towards </a:t>
          </a:r>
          <a:r>
            <a:rPr lang="en-US" i="1"/>
            <a:t>Sports &amp; Outdoors</a:t>
          </a:r>
          <a:r>
            <a:rPr lang="en-US"/>
            <a:t>. Increasing the volume of sales in this category will raise the overall store margin above the current 30.58% baseline because of its superior unit economics.</a:t>
          </a:r>
        </a:p>
        <a:p>
          <a:r>
            <a:rPr lang="en-US" b="1"/>
            <a:t>2. Audit "Low Profit" Inventory</a:t>
          </a:r>
          <a:r>
            <a:rPr lang="en-US"/>
            <a:t> Review the 16 items in the "Low Profit" tier (e.g., </a:t>
          </a:r>
          <a:r>
            <a:rPr lang="en-US" i="1"/>
            <a:t>Dino Egg</a:t>
          </a:r>
          <a:r>
            <a:rPr lang="en-US"/>
            <a:t>, </a:t>
          </a:r>
          <a:r>
            <a:rPr lang="en-US" i="1"/>
            <a:t>PlayDoh Can</a:t>
          </a:r>
          <a:r>
            <a:rPr lang="en-US"/>
            <a:t>). Unless these are strategic "loss leaders" designed to bring customers into the store, consider discontinuing the bottom 20% to free up shelf space for higher-margin goods.</a:t>
          </a:r>
        </a:p>
        <a:p>
          <a:r>
            <a:rPr lang="en-US" b="1"/>
            <a:t>3. Reprice Electronics</a:t>
          </a:r>
          <a:r>
            <a:rPr lang="en-US"/>
            <a:t> Conduct a competitive pricing analysis on Electronics. Increasing the selling price by just </a:t>
          </a:r>
          <a:r>
            <a:rPr lang="en-US" b="1"/>
            <a:t>5-10%</a:t>
          </a:r>
          <a:r>
            <a:rPr lang="en-US"/>
            <a:t> would significantly correct the high Cost-to-Profit ratio currently seen in the dashboard.</a:t>
          </a:r>
        </a:p>
        <a:p>
          <a:r>
            <a:rPr lang="en-US" b="1"/>
            <a:t>6. </a:t>
          </a:r>
          <a:r>
            <a:rPr lang="en-US" b="1">
              <a:latin typeface="Arial Black" panose="020B0A04020102020204" pitchFamily="34" charset="0"/>
            </a:rPr>
            <a:t>Conclusion</a:t>
          </a:r>
        </a:p>
        <a:p>
          <a:r>
            <a:rPr lang="en-US"/>
            <a:t>The dashboard successfully provides visibility into the store's financial health. While the store is profitable, shifting the inventory mix from "Low Profit" volume items to "High Margin" efficiency items (like Sports equipment) presents a clear opportunity to increase the Average Profit per Unit by </a:t>
          </a:r>
          <a:r>
            <a:rPr lang="en-US" b="1"/>
            <a:t>15-20%</a:t>
          </a:r>
          <a:r>
            <a:rPr lang="en-US"/>
            <a:t> in the next quarter.</a:t>
          </a:r>
        </a:p>
        <a:p>
          <a:endParaRPr lang="en-US" sz="1100"/>
        </a:p>
      </xdr:txBody>
    </xdr:sp>
    <xdr:clientData/>
  </xdr:oneCellAnchor>
  <xdr:oneCellAnchor>
    <xdr:from>
      <xdr:col>1</xdr:col>
      <xdr:colOff>426720</xdr:colOff>
      <xdr:row>0</xdr:row>
      <xdr:rowOff>0</xdr:rowOff>
    </xdr:from>
    <xdr:ext cx="4236720" cy="1303020"/>
    <xdr:sp macro="" textlink="">
      <xdr:nvSpPr>
        <xdr:cNvPr id="3" name="TextBox 2">
          <a:extLst>
            <a:ext uri="{FF2B5EF4-FFF2-40B4-BE49-F238E27FC236}">
              <a16:creationId xmlns:a16="http://schemas.microsoft.com/office/drawing/2014/main" id="{463DA913-EF51-4C1E-BCE0-7EAA783AD87D}"/>
            </a:ext>
          </a:extLst>
        </xdr:cNvPr>
        <xdr:cNvSpPr txBox="1"/>
      </xdr:nvSpPr>
      <xdr:spPr>
        <a:xfrm>
          <a:off x="632460" y="0"/>
          <a:ext cx="4236720" cy="1303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latin typeface="Arial Black" panose="020B0A04020102020204" pitchFamily="34" charset="0"/>
            </a:rPr>
            <a:t>RETAIL INVENTORY OPTIMIZATION:EXCUTIVE REPORT</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i="1">
              <a:latin typeface="Arial Black" panose="020B0A04020102020204" pitchFamily="34" charset="0"/>
            </a:rPr>
            <a:t>"Date: Dec 24, 2025 | Prepared by: JOHN"</a:t>
          </a:r>
          <a:r>
            <a:rPr lang="en-US" sz="1200">
              <a:latin typeface="Arial Black" panose="020B0A04020102020204" pitchFamily="34" charset="0"/>
            </a:rPr>
            <a:t>.</a:t>
          </a:r>
        </a:p>
        <a:p>
          <a:pPr algn="ctr"/>
          <a:endParaRPr lang="en-US" sz="1200">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5.59955914352" createdVersion="7" refreshedVersion="7" minRefreshableVersion="3" recordCount="35" xr:uid="{902EE602-A231-43AD-A5EE-650B5D66DB2D}">
  <cacheSource type="worksheet">
    <worksheetSource name="Table1"/>
  </cacheSource>
  <cacheFields count="9">
    <cacheField name="Product_ID" numFmtId="0">
      <sharedItems containsSemiMixedTypes="0" containsString="0" containsNumber="1" containsInteger="1" minValue="1" maxValue="35"/>
    </cacheField>
    <cacheField name="Product_Name" numFmtId="0">
      <sharedItems count="35">
        <s v="Action Figure"/>
        <s v="Animal Figures"/>
        <s v="Barrel O' Slime"/>
        <s v="Chutes &amp; Ladders"/>
        <s v="Classic Dominoes"/>
        <s v="Colorbuds"/>
        <s v="Dart Gun"/>
        <s v="Deck Of Cards"/>
        <s v="Dino Egg"/>
        <s v="Dinosaur Figures"/>
        <s v="Etch A Sketch"/>
        <s v="Foam Disk Launcher"/>
        <s v="Gamer Headphones"/>
        <s v="Glass Marbles"/>
        <s v="Hot Wheels 5-Pack"/>
        <s v="Jenga"/>
        <s v="Kids Makeup Kit"/>
        <s v="Lego Bricks"/>
        <s v="Magic Sand"/>
        <s v="Mini Basketball Hoop"/>
        <s v="Mini Ping Pong Set"/>
        <s v="Monopoly"/>
        <s v="Mr. Potatohead"/>
        <s v="Nerf Gun"/>
        <s v="PlayDoh Can"/>
        <s v="PlayDoh Playset"/>
        <s v="PlayDoh Toolkit"/>
        <s v="Playfoam"/>
        <s v="Plush Pony"/>
        <s v="Rubik's Cube"/>
        <s v="Splash Balls"/>
        <s v="Supersoaker Water Gun"/>
        <s v="Teddy Bear"/>
        <s v="Toy Robot"/>
        <s v="Uno Card Game"/>
      </sharedItems>
    </cacheField>
    <cacheField name="Product_Category" numFmtId="0">
      <sharedItems count="5">
        <s v="Toys"/>
        <s v="Art &amp; Crafts"/>
        <s v="Games"/>
        <s v="Electronics"/>
        <s v="Sports &amp; Outdoors"/>
      </sharedItems>
    </cacheField>
    <cacheField name="Product_Cost" numFmtId="165">
      <sharedItems containsSemiMixedTypes="0" containsString="0" containsNumber="1" minValue="1.99" maxValue="34.99"/>
    </cacheField>
    <cacheField name="Product_Cost2" numFmtId="166">
      <sharedItems containsSemiMixedTypes="0" containsString="0" containsNumber="1" minValue="2.99" maxValue="39.99"/>
    </cacheField>
    <cacheField name="profit" numFmtId="166">
      <sharedItems containsSemiMixedTypes="0" containsString="0" containsNumber="1" minValue="1" maxValue="15.999999999999998"/>
    </cacheField>
    <cacheField name="profit_margin" numFmtId="10">
      <sharedItems containsSemiMixedTypes="0" containsString="0" containsNumber="1" minValue="9.0991810737033663E-2" maxValue="0.70070070070070067"/>
    </cacheField>
    <cacheField name="profit_tier" numFmtId="0">
      <sharedItems count="3">
        <s v="Medium"/>
        <s v="Low "/>
        <s v="High"/>
      </sharedItems>
    </cacheField>
    <cacheField name="%margin" numFmtId="0" formula="profit /Product_Cost2" databaseField="0"/>
  </cacheFields>
  <extLst>
    <ext xmlns:x14="http://schemas.microsoft.com/office/spreadsheetml/2009/9/main" uri="{725AE2AE-9491-48be-B2B4-4EB974FC3084}">
      <x14:pivotCacheDefinition pivotCacheId="493548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
    <x v="0"/>
    <x v="0"/>
    <n v="9.99"/>
    <n v="15.99"/>
    <n v="6"/>
    <n v="0.37523452157598497"/>
    <x v="0"/>
  </r>
  <r>
    <n v="2"/>
    <x v="1"/>
    <x v="0"/>
    <n v="9.99"/>
    <n v="12.99"/>
    <n v="3"/>
    <n v="0.23094688221709006"/>
    <x v="1"/>
  </r>
  <r>
    <n v="3"/>
    <x v="2"/>
    <x v="1"/>
    <n v="1.99"/>
    <n v="3.99"/>
    <n v="2"/>
    <n v="0.50125313283208017"/>
    <x v="1"/>
  </r>
  <r>
    <n v="4"/>
    <x v="3"/>
    <x v="2"/>
    <n v="9.99"/>
    <n v="12.99"/>
    <n v="3"/>
    <n v="0.23094688221709006"/>
    <x v="1"/>
  </r>
  <r>
    <n v="5"/>
    <x v="4"/>
    <x v="2"/>
    <n v="7.99"/>
    <n v="9.99"/>
    <n v="2"/>
    <n v="0.20020020020020018"/>
    <x v="1"/>
  </r>
  <r>
    <n v="6"/>
    <x v="5"/>
    <x v="3"/>
    <n v="6.99"/>
    <n v="14.99"/>
    <n v="8"/>
    <n v="0.53368912608405605"/>
    <x v="2"/>
  </r>
  <r>
    <n v="7"/>
    <x v="6"/>
    <x v="4"/>
    <n v="11.99"/>
    <n v="15.99"/>
    <n v="4"/>
    <n v="0.25015634771732331"/>
    <x v="0"/>
  </r>
  <r>
    <n v="8"/>
    <x v="7"/>
    <x v="2"/>
    <n v="3.99"/>
    <n v="6.99"/>
    <n v="3"/>
    <n v="0.42918454935622319"/>
    <x v="1"/>
  </r>
  <r>
    <n v="9"/>
    <x v="8"/>
    <x v="0"/>
    <n v="9.99"/>
    <n v="10.99"/>
    <n v="1"/>
    <n v="9.0991810737033663E-2"/>
    <x v="1"/>
  </r>
  <r>
    <n v="10"/>
    <x v="9"/>
    <x v="0"/>
    <n v="10.99"/>
    <n v="14.99"/>
    <n v="4"/>
    <n v="0.26684456304202803"/>
    <x v="0"/>
  </r>
  <r>
    <n v="11"/>
    <x v="10"/>
    <x v="1"/>
    <n v="10.99"/>
    <n v="20.99"/>
    <n v="9.9999999999999982"/>
    <n v="0.47641734159123389"/>
    <x v="2"/>
  </r>
  <r>
    <n v="12"/>
    <x v="11"/>
    <x v="4"/>
    <n v="8.99"/>
    <n v="11.99"/>
    <n v="3"/>
    <n v="0.25020850708924103"/>
    <x v="1"/>
  </r>
  <r>
    <n v="13"/>
    <x v="12"/>
    <x v="3"/>
    <n v="14.99"/>
    <n v="20.99"/>
    <n v="5.9999999999999982"/>
    <n v="0.28585040495474029"/>
    <x v="0"/>
  </r>
  <r>
    <n v="14"/>
    <x v="13"/>
    <x v="2"/>
    <n v="5.99"/>
    <n v="10.99"/>
    <n v="5"/>
    <n v="0.45495905368516831"/>
    <x v="0"/>
  </r>
  <r>
    <n v="15"/>
    <x v="14"/>
    <x v="0"/>
    <n v="3.99"/>
    <n v="5.99"/>
    <n v="2"/>
    <n v="0.333889816360601"/>
    <x v="1"/>
  </r>
  <r>
    <n v="16"/>
    <x v="15"/>
    <x v="2"/>
    <n v="2.99"/>
    <n v="9.99"/>
    <n v="7"/>
    <n v="0.70070070070070067"/>
    <x v="0"/>
  </r>
  <r>
    <n v="17"/>
    <x v="16"/>
    <x v="1"/>
    <n v="13.99"/>
    <n v="19.989999999999998"/>
    <n v="5.9999999999999982"/>
    <n v="0.30015007503751867"/>
    <x v="0"/>
  </r>
  <r>
    <n v="18"/>
    <x v="17"/>
    <x v="0"/>
    <n v="34.99"/>
    <n v="39.99"/>
    <n v="5"/>
    <n v="0.12503125781445359"/>
    <x v="0"/>
  </r>
  <r>
    <n v="19"/>
    <x v="18"/>
    <x v="1"/>
    <n v="13.99"/>
    <n v="15.99"/>
    <n v="2"/>
    <n v="0.12507817385866166"/>
    <x v="1"/>
  </r>
  <r>
    <n v="20"/>
    <x v="19"/>
    <x v="4"/>
    <n v="8.99"/>
    <n v="24.99"/>
    <n v="15.999999999999998"/>
    <n v="0.6402561024409763"/>
    <x v="2"/>
  </r>
  <r>
    <n v="21"/>
    <x v="20"/>
    <x v="4"/>
    <n v="6.99"/>
    <n v="9.99"/>
    <n v="3"/>
    <n v="0.3003003003003003"/>
    <x v="1"/>
  </r>
  <r>
    <n v="22"/>
    <x v="21"/>
    <x v="2"/>
    <n v="13.99"/>
    <n v="19.989999999999998"/>
    <n v="5.9999999999999982"/>
    <n v="0.30015007503751867"/>
    <x v="0"/>
  </r>
  <r>
    <n v="23"/>
    <x v="22"/>
    <x v="0"/>
    <n v="4.99"/>
    <n v="9.99"/>
    <n v="5"/>
    <n v="0.50050050050050054"/>
    <x v="0"/>
  </r>
  <r>
    <n v="24"/>
    <x v="23"/>
    <x v="4"/>
    <n v="14.99"/>
    <n v="19.989999999999998"/>
    <n v="4.9999999999999982"/>
    <n v="0.25012506253126554"/>
    <x v="0"/>
  </r>
  <r>
    <n v="25"/>
    <x v="24"/>
    <x v="1"/>
    <n v="1.99"/>
    <n v="2.99"/>
    <n v="1.0000000000000002"/>
    <n v="0.33444816053511711"/>
    <x v="1"/>
  </r>
  <r>
    <n v="26"/>
    <x v="25"/>
    <x v="1"/>
    <n v="20.99"/>
    <n v="24.99"/>
    <n v="4"/>
    <n v="0.1600640256102441"/>
    <x v="0"/>
  </r>
  <r>
    <n v="27"/>
    <x v="26"/>
    <x v="1"/>
    <n v="3.99"/>
    <n v="4.99"/>
    <n v="1"/>
    <n v="0.20040080160320639"/>
    <x v="1"/>
  </r>
  <r>
    <n v="28"/>
    <x v="27"/>
    <x v="1"/>
    <n v="3.99"/>
    <n v="10.99"/>
    <n v="7"/>
    <n v="0.63694267515923564"/>
    <x v="0"/>
  </r>
  <r>
    <n v="29"/>
    <x v="28"/>
    <x v="0"/>
    <n v="8.99"/>
    <n v="19.989999999999998"/>
    <n v="10.999999999999998"/>
    <n v="0.55027513756878432"/>
    <x v="2"/>
  </r>
  <r>
    <n v="30"/>
    <x v="29"/>
    <x v="2"/>
    <n v="17.989999999999998"/>
    <n v="19.989999999999998"/>
    <n v="2"/>
    <n v="0.10005002501250626"/>
    <x v="1"/>
  </r>
  <r>
    <n v="31"/>
    <x v="30"/>
    <x v="4"/>
    <n v="7.99"/>
    <n v="8.99"/>
    <n v="1"/>
    <n v="0.11123470522803114"/>
    <x v="1"/>
  </r>
  <r>
    <n v="32"/>
    <x v="31"/>
    <x v="4"/>
    <n v="11.99"/>
    <n v="14.99"/>
    <n v="3"/>
    <n v="0.20013342228152101"/>
    <x v="1"/>
  </r>
  <r>
    <n v="33"/>
    <x v="32"/>
    <x v="0"/>
    <n v="10.99"/>
    <n v="12.99"/>
    <n v="2"/>
    <n v="0.15396458814472672"/>
    <x v="1"/>
  </r>
  <r>
    <n v="34"/>
    <x v="33"/>
    <x v="3"/>
    <n v="20.99"/>
    <n v="25.99"/>
    <n v="5"/>
    <n v="0.19238168526356292"/>
    <x v="0"/>
  </r>
  <r>
    <n v="35"/>
    <x v="34"/>
    <x v="2"/>
    <n v="3.99"/>
    <n v="7.99"/>
    <n v="4"/>
    <n v="0.500625782227784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E8F887-11E1-4FBA-A563-83FBEF74BA64}" name="PivotTable9"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5:F16" firstHeaderRow="1" firstDataRow="1" firstDataCol="0"/>
  <pivotFields count="9">
    <pivotField showAll="0"/>
    <pivotField showAll="0" countASubtotal="1"/>
    <pivotField showAll="0">
      <items count="6">
        <item x="1"/>
        <item x="3"/>
        <item x="2"/>
        <item x="4"/>
        <item x="0"/>
        <item t="default"/>
      </items>
    </pivotField>
    <pivotField numFmtId="165" showAll="0"/>
    <pivotField numFmtId="166" showAll="0"/>
    <pivotField dataField="1" numFmtId="166" showAll="0"/>
    <pivotField numFmtId="10" showAll="0"/>
    <pivotField showAll="0"/>
    <pivotField dragToRow="0" dragToCol="0" dragToPage="0" showAll="0" defaultSubtotal="0"/>
  </pivotFields>
  <rowItems count="1">
    <i/>
  </rowItems>
  <colItems count="1">
    <i/>
  </colItems>
  <dataFields count="1">
    <dataField name="Average of Profit" fld="5" subtotal="average" baseField="0" baseItem="9" numFmtId="2"/>
  </dataFields>
  <formats count="1">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CE6D87-ABAF-4123-90CA-142DC9DEB311}" name="PivotTable8"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2:F13" firstHeaderRow="1" firstDataRow="1" firstDataCol="0"/>
  <pivotFields count="9">
    <pivotField showAll="0"/>
    <pivotField dataField="1" showAll="0" countASubtotal="1"/>
    <pivotField showAll="0">
      <items count="6">
        <item x="1"/>
        <item x="3"/>
        <item x="2"/>
        <item x="4"/>
        <item x="0"/>
        <item t="default"/>
      </items>
    </pivotField>
    <pivotField numFmtId="165" showAll="0"/>
    <pivotField numFmtId="166" showAll="0"/>
    <pivotField numFmtId="166" showAll="0"/>
    <pivotField numFmtId="10" showAll="0"/>
    <pivotField showAll="0"/>
    <pivotField dragToRow="0" dragToCol="0" dragToPage="0" showAll="0" defaultSubtotal="0"/>
  </pivotFields>
  <rowItems count="1">
    <i/>
  </rowItems>
  <colItems count="1">
    <i/>
  </colItems>
  <dataFields count="1">
    <dataField name="Count of Produc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77B3CF-4092-4B4E-882E-560C402C47DF}" name="PivotTable7"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9:F10" firstHeaderRow="1" firstDataRow="1" firstDataCol="0"/>
  <pivotFields count="9">
    <pivotField showAll="0"/>
    <pivotField showAll="0" countASubtotal="1"/>
    <pivotField showAll="0">
      <items count="6">
        <item x="1"/>
        <item x="3"/>
        <item x="2"/>
        <item x="4"/>
        <item x="0"/>
        <item t="default"/>
      </items>
    </pivotField>
    <pivotField numFmtId="165" showAll="0"/>
    <pivotField numFmtId="166" showAll="0"/>
    <pivotField numFmtId="166" showAll="0"/>
    <pivotField numFmtId="10" showAll="0"/>
    <pivotField showAll="0"/>
    <pivotField dataField="1" dragToRow="0" dragToCol="0" dragToPage="0" showAll="0" defaultSubtotal="0"/>
  </pivotFields>
  <rowItems count="1">
    <i/>
  </rowItems>
  <colItems count="1">
    <i/>
  </colItems>
  <dataFields count="1">
    <dataField name="Sum of %margin" fld="8" baseField="0" baseItem="9" numFmtId="10"/>
  </dataFields>
  <formats count="2">
    <format dxfId="177">
      <pivotArea dataOnly="0" labelOnly="1" outline="0" axis="axisValues" fieldPosition="0"/>
    </format>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345E14-DE2B-443B-83B8-EAE916686802}" name="PivotTable6"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4:F5" firstHeaderRow="1" firstDataRow="1" firstDataCol="0"/>
  <pivotFields count="9">
    <pivotField showAll="0"/>
    <pivotField showAll="0" countASubtotal="1"/>
    <pivotField showAll="0">
      <items count="6">
        <item x="1"/>
        <item x="3"/>
        <item x="2"/>
        <item x="4"/>
        <item x="0"/>
        <item t="default"/>
      </items>
    </pivotField>
    <pivotField numFmtId="165" showAll="0"/>
    <pivotField numFmtId="166" showAll="0"/>
    <pivotField dataField="1" numFmtId="166" showAll="0"/>
    <pivotField numFmtId="10" showAll="0"/>
    <pivotField showAll="0"/>
    <pivotField dragToRow="0" dragToCol="0" dragToPage="0" showAll="0" defaultSubtotal="0"/>
  </pivotFields>
  <rowItems count="1">
    <i/>
  </rowItems>
  <colItems count="1">
    <i/>
  </colItems>
  <dataFields count="1">
    <dataField name="Sum of Profit" fld="5" baseField="0" baseItem="0" numFmtId="165"/>
  </dataFields>
  <formats count="1">
    <format dxfId="1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7DC0EB-580F-4F25-B863-FF3212BD7ADD}" name="PivotTable5"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0:E34" firstHeaderRow="1" firstDataRow="1" firstDataCol="1"/>
  <pivotFields count="9">
    <pivotField showAll="0"/>
    <pivotField dataField="1" showAll="0" countASubtotal="1"/>
    <pivotField axis="axisRow" showAll="0">
      <items count="6">
        <item x="1"/>
        <item x="3"/>
        <item x="2"/>
        <item x="4"/>
        <item x="0"/>
        <item t="default"/>
      </items>
    </pivotField>
    <pivotField numFmtId="165" showAll="0"/>
    <pivotField numFmtId="166" showAll="0"/>
    <pivotField numFmtId="166" showAll="0"/>
    <pivotField numFmtId="10" showAll="0"/>
    <pivotField axis="axisRow" showAll="0">
      <items count="4">
        <item sd="0" x="2"/>
        <item sd="0" x="1"/>
        <item sd="0" x="0"/>
        <item t="default"/>
      </items>
    </pivotField>
    <pivotField dragToRow="0" dragToCol="0" dragToPage="0" showAll="0" defaultSubtotal="0"/>
  </pivotFields>
  <rowFields count="2">
    <field x="7"/>
    <field x="2"/>
  </rowFields>
  <rowItems count="4">
    <i>
      <x/>
    </i>
    <i>
      <x v="1"/>
    </i>
    <i>
      <x v="2"/>
    </i>
    <i t="grand">
      <x/>
    </i>
  </rowItems>
  <colItems count="1">
    <i/>
  </colItems>
  <dataFields count="1">
    <dataField name="Count of Product_Name"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AE70F4-197B-41FE-8083-A568395D2AFD}" name="PivotTable4"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0:B76" firstHeaderRow="1" firstDataRow="1" firstDataCol="1"/>
  <pivotFields count="9">
    <pivotField showAll="0"/>
    <pivotField showAll="0" countASubtotal="1"/>
    <pivotField axis="axisRow" showAll="0">
      <items count="6">
        <item x="1"/>
        <item x="3"/>
        <item x="2"/>
        <item x="4"/>
        <item x="0"/>
        <item t="default"/>
      </items>
    </pivotField>
    <pivotField numFmtId="165" showAll="0"/>
    <pivotField numFmtId="166" showAll="0"/>
    <pivotField numFmtId="166" showAll="0"/>
    <pivotField numFmtId="10" showAll="0"/>
    <pivotField showAll="0"/>
    <pivotField dataField="1" dragToRow="0" dragToCol="0" dragToPage="0" showAll="0" defaultSubtotal="0"/>
  </pivotFields>
  <rowFields count="1">
    <field x="2"/>
  </rowFields>
  <rowItems count="6">
    <i>
      <x/>
    </i>
    <i>
      <x v="1"/>
    </i>
    <i>
      <x v="2"/>
    </i>
    <i>
      <x v="3"/>
    </i>
    <i>
      <x v="4"/>
    </i>
    <i t="grand">
      <x/>
    </i>
  </rowItems>
  <colItems count="1">
    <i/>
  </colItems>
  <dataFields count="1">
    <dataField name="Sum of %margin" fld="8" baseField="0" baseItem="0" numFmtId="10"/>
  </dataFields>
  <formats count="2">
    <format dxfId="179">
      <pivotArea dataOnly="0" labelOnly="1" outline="0" fieldPosition="0">
        <references count="1">
          <reference field="4294967294" count="1">
            <x v="0"/>
          </reference>
        </references>
      </pivotArea>
    </format>
    <format dxfId="178">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942FFE-32F5-4FFB-86C9-765FB3C6500B}" name="PivotTable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9:B36" firstHeaderRow="1" firstDataRow="1" firstDataCol="1"/>
  <pivotFields count="9">
    <pivotField showAll="0"/>
    <pivotField axis="axisRow" showAll="0" measureFilter="1" sortType="ascending" countASubtotal="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countA"/>
      </items>
      <autoSortScope>
        <pivotArea dataOnly="0" outline="0" fieldPosition="0">
          <references count="1">
            <reference field="4294967294" count="1" selected="0">
              <x v="0"/>
            </reference>
          </references>
        </pivotArea>
      </autoSortScope>
    </pivotField>
    <pivotField showAll="0">
      <items count="6">
        <item x="1"/>
        <item x="3"/>
        <item x="2"/>
        <item x="4"/>
        <item x="0"/>
        <item t="default"/>
      </items>
    </pivotField>
    <pivotField numFmtId="165" showAll="0"/>
    <pivotField numFmtId="166" showAll="0"/>
    <pivotField dataField="1" numFmtId="166" showAll="0"/>
    <pivotField numFmtId="10" showAll="0"/>
    <pivotField showAll="0"/>
    <pivotField dragToRow="0" dragToCol="0" dragToPage="0" showAll="0" defaultSubtotal="0"/>
  </pivotFields>
  <rowFields count="1">
    <field x="1"/>
  </rowFields>
  <rowItems count="7">
    <i>
      <x v="15"/>
    </i>
    <i>
      <x v="27"/>
    </i>
    <i>
      <x v="5"/>
    </i>
    <i>
      <x v="10"/>
    </i>
    <i>
      <x v="28"/>
    </i>
    <i>
      <x v="19"/>
    </i>
    <i t="grand">
      <x/>
    </i>
  </rowItems>
  <colItems count="1">
    <i/>
  </colItems>
  <dataFields count="1">
    <dataField name="Sum of Profi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D92BC4-3774-4993-8234-4F2A80DFE30B}" name="PivotTable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7:C23" firstHeaderRow="0" firstDataRow="1" firstDataCol="1"/>
  <pivotFields count="9">
    <pivotField showAll="0"/>
    <pivotField showAll="0" countASubtotal="1"/>
    <pivotField axis="axisRow" showAll="0">
      <items count="6">
        <item x="1"/>
        <item x="3"/>
        <item x="2"/>
        <item x="4"/>
        <item x="0"/>
        <item t="default"/>
      </items>
    </pivotField>
    <pivotField dataField="1" numFmtId="165" showAll="0"/>
    <pivotField dataField="1" numFmtId="166" showAll="0"/>
    <pivotField numFmtId="166" showAll="0"/>
    <pivotField numFmtId="10" showAll="0"/>
    <pivotField showAll="0"/>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Average of Product_Cost" fld="3" subtotal="average" baseField="2" baseItem="0"/>
    <dataField name="Average of Product_Cost2" fld="4" subtotal="average" baseField="2" baseItem="0"/>
  </dataFields>
  <formats count="6">
    <format dxfId="174">
      <pivotArea type="all" dataOnly="0" outline="0" fieldPosition="0"/>
    </format>
    <format dxfId="173">
      <pivotArea outline="0" collapsedLevelsAreSubtotals="1" fieldPosition="0"/>
    </format>
    <format dxfId="172">
      <pivotArea field="2" type="button" dataOnly="0" labelOnly="1" outline="0" axis="axisRow" fieldPosition="0"/>
    </format>
    <format dxfId="171">
      <pivotArea dataOnly="0" labelOnly="1" fieldPosition="0">
        <references count="1">
          <reference field="2" count="0"/>
        </references>
      </pivotArea>
    </format>
    <format dxfId="170">
      <pivotArea dataOnly="0" labelOnly="1" grandRow="1" outline="0" fieldPosition="0"/>
    </format>
    <format dxfId="169">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70388B-CE9B-4CEF-925C-07AB9C705211}" name="PivotTable1"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PERFORMANCE">
  <location ref="A3:B9" firstHeaderRow="1" firstDataRow="1" firstDataCol="1"/>
  <pivotFields count="9">
    <pivotField showAll="0"/>
    <pivotField showAll="0" countASubtotal="1"/>
    <pivotField axis="axisRow" showAll="0" sortType="ascending">
      <items count="6">
        <item x="1"/>
        <item x="3"/>
        <item x="2"/>
        <item x="4"/>
        <item x="0"/>
        <item t="default"/>
      </items>
      <autoSortScope>
        <pivotArea dataOnly="0" outline="0" fieldPosition="0">
          <references count="1">
            <reference field="4294967294" count="1" selected="0">
              <x v="0"/>
            </reference>
          </references>
        </pivotArea>
      </autoSortScope>
    </pivotField>
    <pivotField numFmtId="165" showAll="0"/>
    <pivotField numFmtId="166" showAll="0"/>
    <pivotField dataField="1" numFmtId="166" showAll="0"/>
    <pivotField numFmtId="10" showAll="0"/>
    <pivotField showAll="0"/>
    <pivotField dragToRow="0" dragToCol="0" dragToPage="0" showAll="0" defaultSubtotal="0"/>
  </pivotFields>
  <rowFields count="1">
    <field x="2"/>
  </rowFields>
  <rowItems count="6">
    <i>
      <x v="1"/>
    </i>
    <i>
      <x v="2"/>
    </i>
    <i>
      <x/>
    </i>
    <i>
      <x v="3"/>
    </i>
    <i>
      <x v="4"/>
    </i>
    <i t="grand">
      <x/>
    </i>
  </rowItems>
  <colItems count="1">
    <i/>
  </colItems>
  <dataFields count="1">
    <dataField name="Sum of Profi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68FA192-672C-49A1-9018-D831E1CBEC70}" sourceName="Product_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493548114">
      <items count="5">
        <i x="1" s="1"/>
        <i x="3"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6E77C53A-197B-4EE3-BA3A-DC9F25EDDD1B}" cache="Slicer_Product_Category" caption="CHOOSE CATEGORY" rowHeight="7315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643EE3-9DD8-446B-8A89-306E1166251B}" name="Table1" displayName="Table1" ref="A1:H36" totalsRowShown="0">
  <autoFilter ref="A1:H36" xr:uid="{38643EE3-9DD8-446B-8A89-306E1166251B}"/>
  <tableColumns count="8">
    <tableColumn id="1" xr3:uid="{CBE3CFAB-43A9-436F-87C2-35B69F138DE2}" name="Product_ID"/>
    <tableColumn id="2" xr3:uid="{1AC7ED04-B6FE-49D2-9BA2-4E6EEC2B7F5E}" name="Product_Name"/>
    <tableColumn id="3" xr3:uid="{4592732F-9A4C-4E78-B017-67DD9C4222AD}" name="Product_Category"/>
    <tableColumn id="4" xr3:uid="{829D30EE-2713-49D3-8C03-F64E61C46C3A}" name="Product_Cost" dataDxfId="184"/>
    <tableColumn id="5" xr3:uid="{36F606C0-7659-4F32-9A6D-CF64E9E84F2D}" name="Product_Cost2" dataDxfId="183"/>
    <tableColumn id="6" xr3:uid="{1C09315B-0E77-4A97-B1C0-5B7DF3E66FB6}" name="profit" dataDxfId="181" dataCellStyle="Currency">
      <calculatedColumnFormula>Table1[[#This Row],[Product_Cost2]]-Table1[[#This Row],[Product_Cost]]</calculatedColumnFormula>
    </tableColumn>
    <tableColumn id="7" xr3:uid="{9BAF8205-ADE2-4D97-9B06-3B011AE495CE}" name="profit_margin" dataDxfId="182">
      <calculatedColumnFormula>Table1[[#This Row],[profit]]/Table1[[#This Row],[Product_Cost2]]</calculatedColumnFormula>
    </tableColumn>
    <tableColumn id="9" xr3:uid="{8FE47D35-1C86-4D6A-980D-83B6BDC36967}" name="profit_tier" dataDxfId="180">
      <calculatedColumnFormula>IF(F2&lt;4, "Low ", IF(F2&lt;8, "Medium", "High"))</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election activeCell="L20" sqref="L20"/>
    </sheetView>
  </sheetViews>
  <sheetFormatPr defaultRowHeight="14.25" customHeight="1" x14ac:dyDescent="0.25"/>
  <cols>
    <col min="1" max="1" width="12.09765625" customWidth="1"/>
    <col min="2" max="2" width="21.3984375"/>
    <col min="3" max="3" width="18" customWidth="1"/>
    <col min="4" max="4" width="14.296875" style="1" customWidth="1"/>
    <col min="5" max="5" width="15.3984375" style="3" customWidth="1"/>
    <col min="6" max="6" width="10" style="5" bestFit="1" customWidth="1"/>
    <col min="7" max="7" width="15.796875" style="6" customWidth="1"/>
    <col min="8" max="8" width="15.296875" customWidth="1"/>
  </cols>
  <sheetData>
    <row r="1" spans="1:8" ht="14.25" customHeight="1" x14ac:dyDescent="0.25">
      <c r="A1" t="s">
        <v>0</v>
      </c>
      <c r="B1" t="s">
        <v>1</v>
      </c>
      <c r="C1" t="s">
        <v>2</v>
      </c>
      <c r="D1" s="1" t="s">
        <v>3</v>
      </c>
      <c r="E1" s="1" t="s">
        <v>74</v>
      </c>
      <c r="F1" s="5" t="s">
        <v>84</v>
      </c>
      <c r="G1" s="6" t="s">
        <v>75</v>
      </c>
      <c r="H1" t="s">
        <v>85</v>
      </c>
    </row>
    <row r="2" spans="1:8" ht="14.25" customHeight="1" x14ac:dyDescent="0.25">
      <c r="A2">
        <v>1</v>
      </c>
      <c r="B2" t="s">
        <v>4</v>
      </c>
      <c r="C2" t="s">
        <v>5</v>
      </c>
      <c r="D2" s="2">
        <v>9.99</v>
      </c>
      <c r="E2" s="4">
        <v>15.99</v>
      </c>
      <c r="F2" s="5">
        <f>Table1[[#This Row],[Product_Cost2]]-Table1[[#This Row],[Product_Cost]]</f>
        <v>6</v>
      </c>
      <c r="G2" s="6">
        <f>Table1[[#This Row],[profit]]/Table1[[#This Row],[Product_Cost2]]</f>
        <v>0.37523452157598497</v>
      </c>
      <c r="H2" t="str">
        <f t="shared" ref="H2:H36" si="0">IF(F2&lt;4, "Low ", IF(F2&lt;8, "Medium", "High"))</f>
        <v>Medium</v>
      </c>
    </row>
    <row r="3" spans="1:8" ht="14.25" customHeight="1" x14ac:dyDescent="0.25">
      <c r="A3">
        <v>2</v>
      </c>
      <c r="B3" t="s">
        <v>6</v>
      </c>
      <c r="C3" t="s">
        <v>7</v>
      </c>
      <c r="D3" s="2">
        <v>9.99</v>
      </c>
      <c r="E3" s="4">
        <v>12.99</v>
      </c>
      <c r="F3" s="5">
        <f>Table1[[#This Row],[Product_Cost2]]-Table1[[#This Row],[Product_Cost]]</f>
        <v>3</v>
      </c>
      <c r="G3" s="6">
        <f>Table1[[#This Row],[profit]]/Table1[[#This Row],[Product_Cost2]]</f>
        <v>0.23094688221709006</v>
      </c>
      <c r="H3" t="str">
        <f t="shared" si="0"/>
        <v xml:space="preserve">Low </v>
      </c>
    </row>
    <row r="4" spans="1:8" ht="14.25" customHeight="1" x14ac:dyDescent="0.25">
      <c r="A4">
        <v>3</v>
      </c>
      <c r="B4" t="s">
        <v>8</v>
      </c>
      <c r="C4" t="s">
        <v>9</v>
      </c>
      <c r="D4" s="2">
        <v>1.99</v>
      </c>
      <c r="E4" s="4">
        <v>3.99</v>
      </c>
      <c r="F4" s="5">
        <f>Table1[[#This Row],[Product_Cost2]]-Table1[[#This Row],[Product_Cost]]</f>
        <v>2</v>
      </c>
      <c r="G4" s="6">
        <f>Table1[[#This Row],[profit]]/Table1[[#This Row],[Product_Cost2]]</f>
        <v>0.50125313283208017</v>
      </c>
      <c r="H4" t="str">
        <f t="shared" si="0"/>
        <v xml:space="preserve">Low </v>
      </c>
    </row>
    <row r="5" spans="1:8" ht="14.25" customHeight="1" x14ac:dyDescent="0.25">
      <c r="A5">
        <v>4</v>
      </c>
      <c r="B5" t="s">
        <v>10</v>
      </c>
      <c r="C5" t="s">
        <v>11</v>
      </c>
      <c r="D5" s="2">
        <v>9.99</v>
      </c>
      <c r="E5" s="4">
        <v>12.99</v>
      </c>
      <c r="F5" s="5">
        <f>Table1[[#This Row],[Product_Cost2]]-Table1[[#This Row],[Product_Cost]]</f>
        <v>3</v>
      </c>
      <c r="G5" s="6">
        <f>Table1[[#This Row],[profit]]/Table1[[#This Row],[Product_Cost2]]</f>
        <v>0.23094688221709006</v>
      </c>
      <c r="H5" t="str">
        <f t="shared" si="0"/>
        <v xml:space="preserve">Low </v>
      </c>
    </row>
    <row r="6" spans="1:8" ht="14.25" customHeight="1" x14ac:dyDescent="0.25">
      <c r="A6">
        <v>5</v>
      </c>
      <c r="B6" t="s">
        <v>12</v>
      </c>
      <c r="C6" t="s">
        <v>13</v>
      </c>
      <c r="D6" s="2">
        <v>7.99</v>
      </c>
      <c r="E6" s="4">
        <v>9.99</v>
      </c>
      <c r="F6" s="5">
        <f>Table1[[#This Row],[Product_Cost2]]-Table1[[#This Row],[Product_Cost]]</f>
        <v>2</v>
      </c>
      <c r="G6" s="6">
        <f>Table1[[#This Row],[profit]]/Table1[[#This Row],[Product_Cost2]]</f>
        <v>0.20020020020020018</v>
      </c>
      <c r="H6" t="str">
        <f t="shared" si="0"/>
        <v xml:space="preserve">Low </v>
      </c>
    </row>
    <row r="7" spans="1:8" ht="14.25" customHeight="1" x14ac:dyDescent="0.25">
      <c r="A7">
        <v>6</v>
      </c>
      <c r="B7" t="s">
        <v>14</v>
      </c>
      <c r="C7" t="s">
        <v>15</v>
      </c>
      <c r="D7" s="2">
        <v>6.99</v>
      </c>
      <c r="E7" s="4">
        <v>14.99</v>
      </c>
      <c r="F7" s="5">
        <f>Table1[[#This Row],[Product_Cost2]]-Table1[[#This Row],[Product_Cost]]</f>
        <v>8</v>
      </c>
      <c r="G7" s="6">
        <f>Table1[[#This Row],[profit]]/Table1[[#This Row],[Product_Cost2]]</f>
        <v>0.53368912608405605</v>
      </c>
      <c r="H7" t="str">
        <f t="shared" si="0"/>
        <v>High</v>
      </c>
    </row>
    <row r="8" spans="1:8" ht="14.25" customHeight="1" x14ac:dyDescent="0.25">
      <c r="A8">
        <v>7</v>
      </c>
      <c r="B8" t="s">
        <v>16</v>
      </c>
      <c r="C8" t="s">
        <v>17</v>
      </c>
      <c r="D8" s="2">
        <v>11.99</v>
      </c>
      <c r="E8" s="4">
        <v>15.99</v>
      </c>
      <c r="F8" s="5">
        <f>Table1[[#This Row],[Product_Cost2]]-Table1[[#This Row],[Product_Cost]]</f>
        <v>4</v>
      </c>
      <c r="G8" s="6">
        <f>Table1[[#This Row],[profit]]/Table1[[#This Row],[Product_Cost2]]</f>
        <v>0.25015634771732331</v>
      </c>
      <c r="H8" t="str">
        <f t="shared" si="0"/>
        <v>Medium</v>
      </c>
    </row>
    <row r="9" spans="1:8" ht="14.25" customHeight="1" x14ac:dyDescent="0.25">
      <c r="A9">
        <v>8</v>
      </c>
      <c r="B9" t="s">
        <v>18</v>
      </c>
      <c r="C9" t="s">
        <v>19</v>
      </c>
      <c r="D9" s="2">
        <v>3.99</v>
      </c>
      <c r="E9" s="4">
        <v>6.99</v>
      </c>
      <c r="F9" s="5">
        <f>Table1[[#This Row],[Product_Cost2]]-Table1[[#This Row],[Product_Cost]]</f>
        <v>3</v>
      </c>
      <c r="G9" s="6">
        <f>Table1[[#This Row],[profit]]/Table1[[#This Row],[Product_Cost2]]</f>
        <v>0.42918454935622319</v>
      </c>
      <c r="H9" t="str">
        <f t="shared" si="0"/>
        <v xml:space="preserve">Low </v>
      </c>
    </row>
    <row r="10" spans="1:8" ht="14.25" customHeight="1" x14ac:dyDescent="0.25">
      <c r="A10">
        <v>9</v>
      </c>
      <c r="B10" t="s">
        <v>20</v>
      </c>
      <c r="C10" t="s">
        <v>21</v>
      </c>
      <c r="D10" s="2">
        <v>9.99</v>
      </c>
      <c r="E10" s="4">
        <v>10.99</v>
      </c>
      <c r="F10" s="5">
        <f>Table1[[#This Row],[Product_Cost2]]-Table1[[#This Row],[Product_Cost]]</f>
        <v>1</v>
      </c>
      <c r="G10" s="6">
        <f>Table1[[#This Row],[profit]]/Table1[[#This Row],[Product_Cost2]]</f>
        <v>9.0991810737033663E-2</v>
      </c>
      <c r="H10" t="str">
        <f t="shared" si="0"/>
        <v xml:space="preserve">Low </v>
      </c>
    </row>
    <row r="11" spans="1:8" ht="14.25" customHeight="1" x14ac:dyDescent="0.25">
      <c r="A11">
        <v>10</v>
      </c>
      <c r="B11" t="s">
        <v>22</v>
      </c>
      <c r="C11" t="s">
        <v>23</v>
      </c>
      <c r="D11" s="2">
        <v>10.99</v>
      </c>
      <c r="E11" s="4">
        <v>14.99</v>
      </c>
      <c r="F11" s="5">
        <f>Table1[[#This Row],[Product_Cost2]]-Table1[[#This Row],[Product_Cost]]</f>
        <v>4</v>
      </c>
      <c r="G11" s="6">
        <f>Table1[[#This Row],[profit]]/Table1[[#This Row],[Product_Cost2]]</f>
        <v>0.26684456304202803</v>
      </c>
      <c r="H11" t="str">
        <f t="shared" si="0"/>
        <v>Medium</v>
      </c>
    </row>
    <row r="12" spans="1:8" ht="14.25" customHeight="1" x14ac:dyDescent="0.25">
      <c r="A12">
        <v>11</v>
      </c>
      <c r="B12" t="s">
        <v>24</v>
      </c>
      <c r="C12" t="s">
        <v>25</v>
      </c>
      <c r="D12" s="2">
        <v>10.99</v>
      </c>
      <c r="E12" s="4">
        <v>20.99</v>
      </c>
      <c r="F12" s="5">
        <f>Table1[[#This Row],[Product_Cost2]]-Table1[[#This Row],[Product_Cost]]</f>
        <v>9.9999999999999982</v>
      </c>
      <c r="G12" s="6">
        <f>Table1[[#This Row],[profit]]/Table1[[#This Row],[Product_Cost2]]</f>
        <v>0.47641734159123389</v>
      </c>
      <c r="H12" t="str">
        <f t="shared" si="0"/>
        <v>High</v>
      </c>
    </row>
    <row r="13" spans="1:8" ht="14.25" customHeight="1" x14ac:dyDescent="0.25">
      <c r="A13">
        <v>12</v>
      </c>
      <c r="B13" t="s">
        <v>26</v>
      </c>
      <c r="C13" t="s">
        <v>27</v>
      </c>
      <c r="D13" s="2">
        <v>8.99</v>
      </c>
      <c r="E13" s="4">
        <v>11.99</v>
      </c>
      <c r="F13" s="5">
        <f>Table1[[#This Row],[Product_Cost2]]-Table1[[#This Row],[Product_Cost]]</f>
        <v>3</v>
      </c>
      <c r="G13" s="6">
        <f>Table1[[#This Row],[profit]]/Table1[[#This Row],[Product_Cost2]]</f>
        <v>0.25020850708924103</v>
      </c>
      <c r="H13" t="str">
        <f t="shared" si="0"/>
        <v xml:space="preserve">Low </v>
      </c>
    </row>
    <row r="14" spans="1:8" ht="14.25" customHeight="1" x14ac:dyDescent="0.25">
      <c r="A14">
        <v>13</v>
      </c>
      <c r="B14" t="s">
        <v>28</v>
      </c>
      <c r="C14" t="s">
        <v>29</v>
      </c>
      <c r="D14" s="2">
        <v>14.99</v>
      </c>
      <c r="E14" s="4">
        <v>20.99</v>
      </c>
      <c r="F14" s="5">
        <f>Table1[[#This Row],[Product_Cost2]]-Table1[[#This Row],[Product_Cost]]</f>
        <v>5.9999999999999982</v>
      </c>
      <c r="G14" s="6">
        <f>Table1[[#This Row],[profit]]/Table1[[#This Row],[Product_Cost2]]</f>
        <v>0.28585040495474029</v>
      </c>
      <c r="H14" t="str">
        <f t="shared" si="0"/>
        <v>Medium</v>
      </c>
    </row>
    <row r="15" spans="1:8" ht="14.25" customHeight="1" x14ac:dyDescent="0.25">
      <c r="A15">
        <v>14</v>
      </c>
      <c r="B15" t="s">
        <v>30</v>
      </c>
      <c r="C15" t="s">
        <v>31</v>
      </c>
      <c r="D15" s="2">
        <v>5.99</v>
      </c>
      <c r="E15" s="4">
        <v>10.99</v>
      </c>
      <c r="F15" s="5">
        <f>Table1[[#This Row],[Product_Cost2]]-Table1[[#This Row],[Product_Cost]]</f>
        <v>5</v>
      </c>
      <c r="G15" s="6">
        <f>Table1[[#This Row],[profit]]/Table1[[#This Row],[Product_Cost2]]</f>
        <v>0.45495905368516831</v>
      </c>
      <c r="H15" t="str">
        <f t="shared" si="0"/>
        <v>Medium</v>
      </c>
    </row>
    <row r="16" spans="1:8" ht="14.25" customHeight="1" x14ac:dyDescent="0.25">
      <c r="A16">
        <v>15</v>
      </c>
      <c r="B16" t="s">
        <v>32</v>
      </c>
      <c r="C16" t="s">
        <v>33</v>
      </c>
      <c r="D16" s="2">
        <v>3.99</v>
      </c>
      <c r="E16" s="4">
        <v>5.99</v>
      </c>
      <c r="F16" s="5">
        <f>Table1[[#This Row],[Product_Cost2]]-Table1[[#This Row],[Product_Cost]]</f>
        <v>2</v>
      </c>
      <c r="G16" s="6">
        <f>Table1[[#This Row],[profit]]/Table1[[#This Row],[Product_Cost2]]</f>
        <v>0.333889816360601</v>
      </c>
      <c r="H16" t="str">
        <f t="shared" si="0"/>
        <v xml:space="preserve">Low </v>
      </c>
    </row>
    <row r="17" spans="1:8" ht="14.25" customHeight="1" x14ac:dyDescent="0.25">
      <c r="A17">
        <v>16</v>
      </c>
      <c r="B17" t="s">
        <v>34</v>
      </c>
      <c r="C17" t="s">
        <v>35</v>
      </c>
      <c r="D17" s="2">
        <v>2.99</v>
      </c>
      <c r="E17" s="4">
        <v>9.99</v>
      </c>
      <c r="F17" s="5">
        <f>Table1[[#This Row],[Product_Cost2]]-Table1[[#This Row],[Product_Cost]]</f>
        <v>7</v>
      </c>
      <c r="G17" s="6">
        <f>Table1[[#This Row],[profit]]/Table1[[#This Row],[Product_Cost2]]</f>
        <v>0.70070070070070067</v>
      </c>
      <c r="H17" t="str">
        <f t="shared" si="0"/>
        <v>Medium</v>
      </c>
    </row>
    <row r="18" spans="1:8" ht="14.25" customHeight="1" x14ac:dyDescent="0.25">
      <c r="A18">
        <v>17</v>
      </c>
      <c r="B18" t="s">
        <v>36</v>
      </c>
      <c r="C18" t="s">
        <v>37</v>
      </c>
      <c r="D18" s="2">
        <v>13.99</v>
      </c>
      <c r="E18" s="4">
        <v>19.989999999999998</v>
      </c>
      <c r="F18" s="5">
        <f>Table1[[#This Row],[Product_Cost2]]-Table1[[#This Row],[Product_Cost]]</f>
        <v>5.9999999999999982</v>
      </c>
      <c r="G18" s="6">
        <f>Table1[[#This Row],[profit]]/Table1[[#This Row],[Product_Cost2]]</f>
        <v>0.30015007503751867</v>
      </c>
      <c r="H18" t="str">
        <f t="shared" si="0"/>
        <v>Medium</v>
      </c>
    </row>
    <row r="19" spans="1:8" ht="14.25" customHeight="1" x14ac:dyDescent="0.25">
      <c r="A19">
        <v>18</v>
      </c>
      <c r="B19" t="s">
        <v>38</v>
      </c>
      <c r="C19" t="s">
        <v>39</v>
      </c>
      <c r="D19" s="2">
        <v>34.99</v>
      </c>
      <c r="E19" s="4">
        <v>39.99</v>
      </c>
      <c r="F19" s="5">
        <f>Table1[[#This Row],[Product_Cost2]]-Table1[[#This Row],[Product_Cost]]</f>
        <v>5</v>
      </c>
      <c r="G19" s="6">
        <f>Table1[[#This Row],[profit]]/Table1[[#This Row],[Product_Cost2]]</f>
        <v>0.12503125781445359</v>
      </c>
      <c r="H19" t="str">
        <f t="shared" si="0"/>
        <v>Medium</v>
      </c>
    </row>
    <row r="20" spans="1:8" ht="14.25" customHeight="1" x14ac:dyDescent="0.25">
      <c r="A20">
        <v>19</v>
      </c>
      <c r="B20" t="s">
        <v>40</v>
      </c>
      <c r="C20" t="s">
        <v>41</v>
      </c>
      <c r="D20" s="2">
        <v>13.99</v>
      </c>
      <c r="E20" s="4">
        <v>15.99</v>
      </c>
      <c r="F20" s="5">
        <f>Table1[[#This Row],[Product_Cost2]]-Table1[[#This Row],[Product_Cost]]</f>
        <v>2</v>
      </c>
      <c r="G20" s="6">
        <f>Table1[[#This Row],[profit]]/Table1[[#This Row],[Product_Cost2]]</f>
        <v>0.12507817385866166</v>
      </c>
      <c r="H20" t="str">
        <f t="shared" si="0"/>
        <v xml:space="preserve">Low </v>
      </c>
    </row>
    <row r="21" spans="1:8" ht="14.25" customHeight="1" x14ac:dyDescent="0.25">
      <c r="A21">
        <v>20</v>
      </c>
      <c r="B21" t="s">
        <v>42</v>
      </c>
      <c r="C21" t="s">
        <v>43</v>
      </c>
      <c r="D21" s="2">
        <v>8.99</v>
      </c>
      <c r="E21" s="4">
        <v>24.99</v>
      </c>
      <c r="F21" s="5">
        <f>Table1[[#This Row],[Product_Cost2]]-Table1[[#This Row],[Product_Cost]]</f>
        <v>15.999999999999998</v>
      </c>
      <c r="G21" s="6">
        <f>Table1[[#This Row],[profit]]/Table1[[#This Row],[Product_Cost2]]</f>
        <v>0.6402561024409763</v>
      </c>
      <c r="H21" t="str">
        <f t="shared" si="0"/>
        <v>High</v>
      </c>
    </row>
    <row r="22" spans="1:8" ht="14.25" customHeight="1" x14ac:dyDescent="0.25">
      <c r="A22">
        <v>21</v>
      </c>
      <c r="B22" t="s">
        <v>44</v>
      </c>
      <c r="C22" t="s">
        <v>45</v>
      </c>
      <c r="D22" s="2">
        <v>6.99</v>
      </c>
      <c r="E22" s="4">
        <v>9.99</v>
      </c>
      <c r="F22" s="5">
        <f>Table1[[#This Row],[Product_Cost2]]-Table1[[#This Row],[Product_Cost]]</f>
        <v>3</v>
      </c>
      <c r="G22" s="6">
        <f>Table1[[#This Row],[profit]]/Table1[[#This Row],[Product_Cost2]]</f>
        <v>0.3003003003003003</v>
      </c>
      <c r="H22" t="str">
        <f t="shared" si="0"/>
        <v xml:space="preserve">Low </v>
      </c>
    </row>
    <row r="23" spans="1:8" ht="14.25" customHeight="1" x14ac:dyDescent="0.25">
      <c r="A23">
        <v>22</v>
      </c>
      <c r="B23" t="s">
        <v>46</v>
      </c>
      <c r="C23" t="s">
        <v>47</v>
      </c>
      <c r="D23" s="2">
        <v>13.99</v>
      </c>
      <c r="E23" s="4">
        <v>19.989999999999998</v>
      </c>
      <c r="F23" s="5">
        <f>Table1[[#This Row],[Product_Cost2]]-Table1[[#This Row],[Product_Cost]]</f>
        <v>5.9999999999999982</v>
      </c>
      <c r="G23" s="6">
        <f>Table1[[#This Row],[profit]]/Table1[[#This Row],[Product_Cost2]]</f>
        <v>0.30015007503751867</v>
      </c>
      <c r="H23" t="str">
        <f t="shared" si="0"/>
        <v>Medium</v>
      </c>
    </row>
    <row r="24" spans="1:8" ht="14.25" customHeight="1" x14ac:dyDescent="0.25">
      <c r="A24">
        <v>23</v>
      </c>
      <c r="B24" t="s">
        <v>48</v>
      </c>
      <c r="C24" t="s">
        <v>49</v>
      </c>
      <c r="D24" s="2">
        <v>4.99</v>
      </c>
      <c r="E24" s="4">
        <v>9.99</v>
      </c>
      <c r="F24" s="5">
        <f>Table1[[#This Row],[Product_Cost2]]-Table1[[#This Row],[Product_Cost]]</f>
        <v>5</v>
      </c>
      <c r="G24" s="6">
        <f>Table1[[#This Row],[profit]]/Table1[[#This Row],[Product_Cost2]]</f>
        <v>0.50050050050050054</v>
      </c>
      <c r="H24" t="str">
        <f t="shared" si="0"/>
        <v>Medium</v>
      </c>
    </row>
    <row r="25" spans="1:8" ht="14.25" customHeight="1" x14ac:dyDescent="0.25">
      <c r="A25">
        <v>24</v>
      </c>
      <c r="B25" t="s">
        <v>50</v>
      </c>
      <c r="C25" t="s">
        <v>51</v>
      </c>
      <c r="D25" s="2">
        <v>14.99</v>
      </c>
      <c r="E25" s="4">
        <v>19.989999999999998</v>
      </c>
      <c r="F25" s="5">
        <f>Table1[[#This Row],[Product_Cost2]]-Table1[[#This Row],[Product_Cost]]</f>
        <v>4.9999999999999982</v>
      </c>
      <c r="G25" s="6">
        <f>Table1[[#This Row],[profit]]/Table1[[#This Row],[Product_Cost2]]</f>
        <v>0.25012506253126554</v>
      </c>
      <c r="H25" t="str">
        <f t="shared" si="0"/>
        <v>Medium</v>
      </c>
    </row>
    <row r="26" spans="1:8" ht="14.25" customHeight="1" x14ac:dyDescent="0.25">
      <c r="A26">
        <v>25</v>
      </c>
      <c r="B26" t="s">
        <v>52</v>
      </c>
      <c r="C26" t="s">
        <v>53</v>
      </c>
      <c r="D26" s="2">
        <v>1.99</v>
      </c>
      <c r="E26" s="4">
        <v>2.99</v>
      </c>
      <c r="F26" s="5">
        <f>Table1[[#This Row],[Product_Cost2]]-Table1[[#This Row],[Product_Cost]]</f>
        <v>1.0000000000000002</v>
      </c>
      <c r="G26" s="6">
        <f>Table1[[#This Row],[profit]]/Table1[[#This Row],[Product_Cost2]]</f>
        <v>0.33444816053511711</v>
      </c>
      <c r="H26" t="str">
        <f t="shared" si="0"/>
        <v xml:space="preserve">Low </v>
      </c>
    </row>
    <row r="27" spans="1:8" ht="14.25" customHeight="1" x14ac:dyDescent="0.25">
      <c r="A27">
        <v>26</v>
      </c>
      <c r="B27" t="s">
        <v>54</v>
      </c>
      <c r="C27" t="s">
        <v>55</v>
      </c>
      <c r="D27" s="2">
        <v>20.99</v>
      </c>
      <c r="E27" s="4">
        <v>24.99</v>
      </c>
      <c r="F27" s="5">
        <f>Table1[[#This Row],[Product_Cost2]]-Table1[[#This Row],[Product_Cost]]</f>
        <v>4</v>
      </c>
      <c r="G27" s="6">
        <f>Table1[[#This Row],[profit]]/Table1[[#This Row],[Product_Cost2]]</f>
        <v>0.1600640256102441</v>
      </c>
      <c r="H27" t="str">
        <f t="shared" si="0"/>
        <v>Medium</v>
      </c>
    </row>
    <row r="28" spans="1:8" ht="14.25" customHeight="1" x14ac:dyDescent="0.25">
      <c r="A28">
        <v>27</v>
      </c>
      <c r="B28" t="s">
        <v>56</v>
      </c>
      <c r="C28" t="s">
        <v>57</v>
      </c>
      <c r="D28" s="2">
        <v>3.99</v>
      </c>
      <c r="E28" s="4">
        <v>4.99</v>
      </c>
      <c r="F28" s="5">
        <f>Table1[[#This Row],[Product_Cost2]]-Table1[[#This Row],[Product_Cost]]</f>
        <v>1</v>
      </c>
      <c r="G28" s="6">
        <f>Table1[[#This Row],[profit]]/Table1[[#This Row],[Product_Cost2]]</f>
        <v>0.20040080160320639</v>
      </c>
      <c r="H28" t="str">
        <f t="shared" si="0"/>
        <v xml:space="preserve">Low </v>
      </c>
    </row>
    <row r="29" spans="1:8" ht="14.25" customHeight="1" x14ac:dyDescent="0.25">
      <c r="A29">
        <v>28</v>
      </c>
      <c r="B29" t="s">
        <v>58</v>
      </c>
      <c r="C29" t="s">
        <v>59</v>
      </c>
      <c r="D29" s="2">
        <v>3.99</v>
      </c>
      <c r="E29" s="4">
        <v>10.99</v>
      </c>
      <c r="F29" s="5">
        <f>Table1[[#This Row],[Product_Cost2]]-Table1[[#This Row],[Product_Cost]]</f>
        <v>7</v>
      </c>
      <c r="G29" s="6">
        <f>Table1[[#This Row],[profit]]/Table1[[#This Row],[Product_Cost2]]</f>
        <v>0.63694267515923564</v>
      </c>
      <c r="H29" t="str">
        <f t="shared" si="0"/>
        <v>Medium</v>
      </c>
    </row>
    <row r="30" spans="1:8" ht="14.25" customHeight="1" x14ac:dyDescent="0.25">
      <c r="A30">
        <v>29</v>
      </c>
      <c r="B30" t="s">
        <v>60</v>
      </c>
      <c r="C30" t="s">
        <v>61</v>
      </c>
      <c r="D30" s="2">
        <v>8.99</v>
      </c>
      <c r="E30" s="4">
        <v>19.989999999999998</v>
      </c>
      <c r="F30" s="5">
        <f>Table1[[#This Row],[Product_Cost2]]-Table1[[#This Row],[Product_Cost]]</f>
        <v>10.999999999999998</v>
      </c>
      <c r="G30" s="6">
        <f>Table1[[#This Row],[profit]]/Table1[[#This Row],[Product_Cost2]]</f>
        <v>0.55027513756878432</v>
      </c>
      <c r="H30" t="str">
        <f t="shared" si="0"/>
        <v>High</v>
      </c>
    </row>
    <row r="31" spans="1:8" ht="13.2" x14ac:dyDescent="0.25">
      <c r="A31">
        <v>30</v>
      </c>
      <c r="B31" t="s">
        <v>62</v>
      </c>
      <c r="C31" t="s">
        <v>63</v>
      </c>
      <c r="D31" s="2">
        <v>17.989999999999998</v>
      </c>
      <c r="E31" s="4">
        <v>19.989999999999998</v>
      </c>
      <c r="F31" s="5">
        <f>Table1[[#This Row],[Product_Cost2]]-Table1[[#This Row],[Product_Cost]]</f>
        <v>2</v>
      </c>
      <c r="G31" s="6">
        <f>Table1[[#This Row],[profit]]/Table1[[#This Row],[Product_Cost2]]</f>
        <v>0.10005002501250626</v>
      </c>
      <c r="H31" t="str">
        <f t="shared" si="0"/>
        <v xml:space="preserve">Low </v>
      </c>
    </row>
    <row r="32" spans="1:8" ht="13.2" x14ac:dyDescent="0.25">
      <c r="A32">
        <v>31</v>
      </c>
      <c r="B32" t="s">
        <v>64</v>
      </c>
      <c r="C32" t="s">
        <v>65</v>
      </c>
      <c r="D32" s="2">
        <v>7.99</v>
      </c>
      <c r="E32" s="4">
        <v>8.99</v>
      </c>
      <c r="F32" s="5">
        <f>Table1[[#This Row],[Product_Cost2]]-Table1[[#This Row],[Product_Cost]]</f>
        <v>1</v>
      </c>
      <c r="G32" s="6">
        <f>Table1[[#This Row],[profit]]/Table1[[#This Row],[Product_Cost2]]</f>
        <v>0.11123470522803114</v>
      </c>
      <c r="H32" t="str">
        <f t="shared" si="0"/>
        <v xml:space="preserve">Low </v>
      </c>
    </row>
    <row r="33" spans="1:8" ht="13.2" x14ac:dyDescent="0.25">
      <c r="A33">
        <v>32</v>
      </c>
      <c r="B33" t="s">
        <v>66</v>
      </c>
      <c r="C33" t="s">
        <v>67</v>
      </c>
      <c r="D33" s="2">
        <v>11.99</v>
      </c>
      <c r="E33" s="4">
        <v>14.99</v>
      </c>
      <c r="F33" s="5">
        <f>Table1[[#This Row],[Product_Cost2]]-Table1[[#This Row],[Product_Cost]]</f>
        <v>3</v>
      </c>
      <c r="G33" s="6">
        <f>Table1[[#This Row],[profit]]/Table1[[#This Row],[Product_Cost2]]</f>
        <v>0.20013342228152101</v>
      </c>
      <c r="H33" t="str">
        <f t="shared" si="0"/>
        <v xml:space="preserve">Low </v>
      </c>
    </row>
    <row r="34" spans="1:8" ht="13.2" x14ac:dyDescent="0.25">
      <c r="A34">
        <v>33</v>
      </c>
      <c r="B34" t="s">
        <v>68</v>
      </c>
      <c r="C34" t="s">
        <v>69</v>
      </c>
      <c r="D34" s="2">
        <v>10.99</v>
      </c>
      <c r="E34" s="4">
        <v>12.99</v>
      </c>
      <c r="F34" s="5">
        <f>Table1[[#This Row],[Product_Cost2]]-Table1[[#This Row],[Product_Cost]]</f>
        <v>2</v>
      </c>
      <c r="G34" s="6">
        <f>Table1[[#This Row],[profit]]/Table1[[#This Row],[Product_Cost2]]</f>
        <v>0.15396458814472672</v>
      </c>
      <c r="H34" t="str">
        <f t="shared" si="0"/>
        <v xml:space="preserve">Low </v>
      </c>
    </row>
    <row r="35" spans="1:8" ht="13.2" x14ac:dyDescent="0.25">
      <c r="A35">
        <v>34</v>
      </c>
      <c r="B35" t="s">
        <v>70</v>
      </c>
      <c r="C35" t="s">
        <v>71</v>
      </c>
      <c r="D35" s="2">
        <v>20.99</v>
      </c>
      <c r="E35" s="4">
        <v>25.99</v>
      </c>
      <c r="F35" s="5">
        <f>Table1[[#This Row],[Product_Cost2]]-Table1[[#This Row],[Product_Cost]]</f>
        <v>5</v>
      </c>
      <c r="G35" s="6">
        <f>Table1[[#This Row],[profit]]/Table1[[#This Row],[Product_Cost2]]</f>
        <v>0.19238168526356292</v>
      </c>
      <c r="H35" t="str">
        <f t="shared" si="0"/>
        <v>Medium</v>
      </c>
    </row>
    <row r="36" spans="1:8" ht="13.2" x14ac:dyDescent="0.25">
      <c r="A36">
        <v>35</v>
      </c>
      <c r="B36" t="s">
        <v>72</v>
      </c>
      <c r="C36" t="s">
        <v>73</v>
      </c>
      <c r="D36" s="2">
        <v>3.99</v>
      </c>
      <c r="E36" s="4">
        <v>7.99</v>
      </c>
      <c r="F36" s="5">
        <f>Table1[[#This Row],[Product_Cost2]]-Table1[[#This Row],[Product_Cost]]</f>
        <v>4</v>
      </c>
      <c r="G36" s="6">
        <f>Table1[[#This Row],[profit]]/Table1[[#This Row],[Product_Cost2]]</f>
        <v>0.50062578222778475</v>
      </c>
      <c r="H36" t="str">
        <f t="shared" si="0"/>
        <v>Medium</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FA15-B286-4186-A98E-E0B0D31A1BE6}">
  <dimension ref="A2:G76"/>
  <sheetViews>
    <sheetView workbookViewId="0">
      <selection activeCell="G16" sqref="G16"/>
    </sheetView>
  </sheetViews>
  <sheetFormatPr defaultRowHeight="13.2" x14ac:dyDescent="0.25"/>
  <cols>
    <col min="1" max="1" width="15.19921875" bestFit="1" customWidth="1"/>
    <col min="2" max="2" width="14.69921875" bestFit="1" customWidth="1"/>
    <col min="3" max="3" width="23.69921875" bestFit="1" customWidth="1"/>
    <col min="4" max="4" width="12.59765625" bestFit="1" customWidth="1"/>
    <col min="5" max="5" width="21.59765625" bestFit="1" customWidth="1"/>
    <col min="6" max="6" width="15.59765625" bestFit="1" customWidth="1"/>
    <col min="7" max="7" width="21.59765625" bestFit="1" customWidth="1"/>
    <col min="8" max="8" width="16.8984375" bestFit="1" customWidth="1"/>
    <col min="9" max="9" width="5" bestFit="1" customWidth="1"/>
    <col min="10" max="10" width="10.8984375" bestFit="1" customWidth="1"/>
    <col min="11" max="11" width="15.296875" bestFit="1" customWidth="1"/>
    <col min="12" max="12" width="12.69921875" bestFit="1" customWidth="1"/>
    <col min="13" max="13" width="18.19921875" bestFit="1" customWidth="1"/>
    <col min="14" max="14" width="17.796875" bestFit="1" customWidth="1"/>
    <col min="15" max="15" width="13.19921875" bestFit="1" customWidth="1"/>
    <col min="16" max="16" width="17.19921875" bestFit="1" customWidth="1"/>
    <col min="17" max="17" width="6" bestFit="1" customWidth="1"/>
    <col min="18" max="18" width="14.8984375" bestFit="1" customWidth="1"/>
    <col min="19" max="19" width="11" bestFit="1" customWidth="1"/>
    <col min="20" max="20" width="10.796875" bestFit="1" customWidth="1"/>
    <col min="21" max="21" width="19.296875" bestFit="1" customWidth="1"/>
    <col min="22" max="22" width="17.19921875" bestFit="1" customWidth="1"/>
    <col min="23" max="23" width="9.296875" bestFit="1" customWidth="1"/>
    <col min="24" max="24" width="14.19921875" bestFit="1" customWidth="1"/>
    <col min="25" max="25" width="8.3984375" bestFit="1" customWidth="1"/>
    <col min="26" max="26" width="11.5" bestFit="1" customWidth="1"/>
    <col min="27" max="27" width="14.69921875" bestFit="1" customWidth="1"/>
    <col min="28" max="28" width="14.3984375" bestFit="1" customWidth="1"/>
    <col min="29" max="29" width="8.8984375" bestFit="1" customWidth="1"/>
    <col min="30" max="30" width="10.296875" bestFit="1" customWidth="1"/>
    <col min="31" max="31" width="11.796875" bestFit="1" customWidth="1"/>
    <col min="32" max="32" width="11.296875" bestFit="1" customWidth="1"/>
    <col min="33" max="33" width="21.19921875" bestFit="1" customWidth="1"/>
    <col min="34" max="34" width="10.5" bestFit="1" customWidth="1"/>
    <col min="35" max="35" width="9.59765625" bestFit="1" customWidth="1"/>
    <col min="36" max="36" width="14.19921875" bestFit="1" customWidth="1"/>
    <col min="37" max="37" width="10.8984375" bestFit="1" customWidth="1"/>
  </cols>
  <sheetData>
    <row r="2" spans="1:7" x14ac:dyDescent="0.25">
      <c r="A2" t="s">
        <v>81</v>
      </c>
    </row>
    <row r="3" spans="1:7" x14ac:dyDescent="0.25">
      <c r="A3" s="8" t="s">
        <v>81</v>
      </c>
      <c r="B3" t="s">
        <v>76</v>
      </c>
    </row>
    <row r="4" spans="1:7" x14ac:dyDescent="0.25">
      <c r="A4" s="9" t="s">
        <v>15</v>
      </c>
      <c r="B4" s="7">
        <v>19</v>
      </c>
      <c r="F4" t="s">
        <v>76</v>
      </c>
    </row>
    <row r="5" spans="1:7" x14ac:dyDescent="0.25">
      <c r="A5" s="9" t="s">
        <v>11</v>
      </c>
      <c r="B5" s="7">
        <v>32</v>
      </c>
      <c r="F5" s="1">
        <v>158</v>
      </c>
      <c r="G5" s="1">
        <f>GETPIVOTDATA("profit",$F$4)</f>
        <v>158</v>
      </c>
    </row>
    <row r="6" spans="1:7" x14ac:dyDescent="0.25">
      <c r="A6" s="9" t="s">
        <v>9</v>
      </c>
      <c r="B6" s="7">
        <v>33</v>
      </c>
    </row>
    <row r="7" spans="1:7" x14ac:dyDescent="0.25">
      <c r="A7" s="9" t="s">
        <v>17</v>
      </c>
      <c r="B7" s="7">
        <v>35</v>
      </c>
    </row>
    <row r="8" spans="1:7" x14ac:dyDescent="0.25">
      <c r="A8" s="9" t="s">
        <v>5</v>
      </c>
      <c r="B8" s="7">
        <v>39</v>
      </c>
    </row>
    <row r="9" spans="1:7" x14ac:dyDescent="0.25">
      <c r="A9" s="9" t="s">
        <v>78</v>
      </c>
      <c r="B9" s="7">
        <v>158</v>
      </c>
      <c r="F9" s="12" t="s">
        <v>90</v>
      </c>
    </row>
    <row r="10" spans="1:7" x14ac:dyDescent="0.25">
      <c r="F10" s="6">
        <v>0.30581631665537584</v>
      </c>
      <c r="G10" s="6">
        <f>GETPIVOTDATA("%margin",$F$9)</f>
        <v>0.30581631665537584</v>
      </c>
    </row>
    <row r="12" spans="1:7" x14ac:dyDescent="0.25">
      <c r="F12" t="s">
        <v>79</v>
      </c>
    </row>
    <row r="13" spans="1:7" x14ac:dyDescent="0.25">
      <c r="F13" s="7">
        <v>35</v>
      </c>
      <c r="G13">
        <f>GETPIVOTDATA("Product_Name",$F$12)</f>
        <v>35</v>
      </c>
    </row>
    <row r="15" spans="1:7" x14ac:dyDescent="0.25">
      <c r="F15" t="s">
        <v>93</v>
      </c>
    </row>
    <row r="16" spans="1:7" x14ac:dyDescent="0.25">
      <c r="A16" s="10" t="s">
        <v>80</v>
      </c>
      <c r="B16" s="10"/>
      <c r="C16" s="10"/>
      <c r="F16" s="10">
        <v>4.5142857142857142</v>
      </c>
      <c r="G16" s="1">
        <f>GETPIVOTDATA("profit",$F$15)</f>
        <v>4.5142857142857142</v>
      </c>
    </row>
    <row r="17" spans="1:5" x14ac:dyDescent="0.25">
      <c r="A17" s="11" t="s">
        <v>77</v>
      </c>
      <c r="B17" s="10" t="s">
        <v>82</v>
      </c>
      <c r="C17" s="10" t="s">
        <v>83</v>
      </c>
    </row>
    <row r="18" spans="1:5" x14ac:dyDescent="0.25">
      <c r="A18" s="13" t="s">
        <v>9</v>
      </c>
      <c r="B18" s="10">
        <v>8.9899999999999984</v>
      </c>
      <c r="C18" s="10">
        <v>13.114999999999998</v>
      </c>
    </row>
    <row r="19" spans="1:5" x14ac:dyDescent="0.25">
      <c r="A19" s="13" t="s">
        <v>15</v>
      </c>
      <c r="B19" s="10">
        <v>14.323333333333332</v>
      </c>
      <c r="C19" s="10">
        <v>20.656666666666666</v>
      </c>
    </row>
    <row r="20" spans="1:5" x14ac:dyDescent="0.25">
      <c r="A20" s="13" t="s">
        <v>11</v>
      </c>
      <c r="B20" s="10">
        <v>8.3650000000000002</v>
      </c>
      <c r="C20" s="10">
        <v>12.364999999999998</v>
      </c>
    </row>
    <row r="21" spans="1:5" x14ac:dyDescent="0.25">
      <c r="A21" s="13" t="s">
        <v>17</v>
      </c>
      <c r="B21" s="10">
        <v>10.275714285714287</v>
      </c>
      <c r="C21" s="10">
        <v>15.275714285714285</v>
      </c>
    </row>
    <row r="22" spans="1:5" x14ac:dyDescent="0.25">
      <c r="A22" s="13" t="s">
        <v>5</v>
      </c>
      <c r="B22" s="10">
        <v>11.656666666666665</v>
      </c>
      <c r="C22" s="10">
        <v>15.99</v>
      </c>
    </row>
    <row r="23" spans="1:5" x14ac:dyDescent="0.25">
      <c r="A23" s="13" t="s">
        <v>78</v>
      </c>
      <c r="B23" s="10">
        <v>10.247142857142862</v>
      </c>
      <c r="C23" s="10">
        <v>14.761428571428578</v>
      </c>
    </row>
    <row r="28" spans="1:5" x14ac:dyDescent="0.25">
      <c r="A28" t="s">
        <v>92</v>
      </c>
    </row>
    <row r="29" spans="1:5" x14ac:dyDescent="0.25">
      <c r="A29" s="8" t="s">
        <v>77</v>
      </c>
      <c r="B29" t="s">
        <v>76</v>
      </c>
      <c r="D29" t="s">
        <v>89</v>
      </c>
    </row>
    <row r="30" spans="1:5" x14ac:dyDescent="0.25">
      <c r="A30" s="9" t="s">
        <v>34</v>
      </c>
      <c r="B30" s="7">
        <v>7</v>
      </c>
      <c r="D30" s="8" t="s">
        <v>77</v>
      </c>
      <c r="E30" t="s">
        <v>79</v>
      </c>
    </row>
    <row r="31" spans="1:5" x14ac:dyDescent="0.25">
      <c r="A31" s="9" t="s">
        <v>58</v>
      </c>
      <c r="B31" s="7">
        <v>7</v>
      </c>
      <c r="D31" s="9" t="s">
        <v>86</v>
      </c>
      <c r="E31" s="7">
        <v>4</v>
      </c>
    </row>
    <row r="32" spans="1:5" x14ac:dyDescent="0.25">
      <c r="A32" s="9" t="s">
        <v>14</v>
      </c>
      <c r="B32" s="7">
        <v>8</v>
      </c>
      <c r="D32" s="9" t="s">
        <v>87</v>
      </c>
      <c r="E32" s="7">
        <v>16</v>
      </c>
    </row>
    <row r="33" spans="1:5" x14ac:dyDescent="0.25">
      <c r="A33" s="9" t="s">
        <v>24</v>
      </c>
      <c r="B33" s="7">
        <v>9.9999999999999982</v>
      </c>
      <c r="D33" s="9" t="s">
        <v>88</v>
      </c>
      <c r="E33" s="7">
        <v>15</v>
      </c>
    </row>
    <row r="34" spans="1:5" x14ac:dyDescent="0.25">
      <c r="A34" s="9" t="s">
        <v>60</v>
      </c>
      <c r="B34" s="7">
        <v>10.999999999999998</v>
      </c>
      <c r="D34" s="9" t="s">
        <v>78</v>
      </c>
      <c r="E34" s="7">
        <v>35</v>
      </c>
    </row>
    <row r="35" spans="1:5" x14ac:dyDescent="0.25">
      <c r="A35" s="9" t="s">
        <v>42</v>
      </c>
      <c r="B35" s="7">
        <v>15.999999999999998</v>
      </c>
    </row>
    <row r="36" spans="1:5" x14ac:dyDescent="0.25">
      <c r="A36" s="9" t="s">
        <v>78</v>
      </c>
      <c r="B36" s="7">
        <v>59</v>
      </c>
    </row>
    <row r="69" spans="1:2" x14ac:dyDescent="0.25">
      <c r="A69" t="s">
        <v>91</v>
      </c>
    </row>
    <row r="70" spans="1:2" x14ac:dyDescent="0.25">
      <c r="A70" s="8" t="s">
        <v>77</v>
      </c>
      <c r="B70" t="s">
        <v>90</v>
      </c>
    </row>
    <row r="71" spans="1:2" x14ac:dyDescent="0.25">
      <c r="A71" s="9" t="s">
        <v>9</v>
      </c>
      <c r="B71" s="6">
        <v>0.31452535264963788</v>
      </c>
    </row>
    <row r="72" spans="1:2" x14ac:dyDescent="0.25">
      <c r="A72" s="9" t="s">
        <v>15</v>
      </c>
      <c r="B72" s="6">
        <v>0.3065999677263192</v>
      </c>
    </row>
    <row r="73" spans="1:2" x14ac:dyDescent="0.25">
      <c r="A73" s="9" t="s">
        <v>11</v>
      </c>
      <c r="B73" s="6">
        <v>0.32349373230893658</v>
      </c>
    </row>
    <row r="74" spans="1:2" x14ac:dyDescent="0.25">
      <c r="A74" s="9" t="s">
        <v>17</v>
      </c>
      <c r="B74" s="6">
        <v>0.32731693631347614</v>
      </c>
    </row>
    <row r="75" spans="1:2" x14ac:dyDescent="0.25">
      <c r="A75" s="9" t="s">
        <v>5</v>
      </c>
      <c r="B75" s="6">
        <v>0.2710027100271003</v>
      </c>
    </row>
    <row r="76" spans="1:2" x14ac:dyDescent="0.25">
      <c r="A76" s="9" t="s">
        <v>78</v>
      </c>
      <c r="B76" s="6">
        <v>0.30581631665537584</v>
      </c>
    </row>
  </sheetData>
  <sortState xmlns:xlrd2="http://schemas.microsoft.com/office/spreadsheetml/2017/richdata2" ref="A29:C65">
    <sortCondition descending="1" ref="C29"/>
  </sortState>
  <pageMargins left="0.7" right="0.7" top="0.75" bottom="0.75" header="0.3" footer="0.3"/>
  <pageSetup orientation="portrait"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89A4A-8481-4683-B1C8-B563871F8B0C}">
  <dimension ref="AD64"/>
  <sheetViews>
    <sheetView showGridLines="0" showRowColHeaders="0" tabSelected="1" zoomScale="72" zoomScaleNormal="72" workbookViewId="0">
      <selection activeCell="AF12" sqref="AF12"/>
    </sheetView>
  </sheetViews>
  <sheetFormatPr defaultRowHeight="13.2" x14ac:dyDescent="0.25"/>
  <cols>
    <col min="1" max="16384" width="8.796875" style="14"/>
  </cols>
  <sheetData>
    <row r="64" spans="30:30" x14ac:dyDescent="0.25">
      <c r="AD64"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7E40-396D-4965-A0DD-31BAA7295470}">
  <dimension ref="B1:H4"/>
  <sheetViews>
    <sheetView showGridLines="0" zoomScale="146" zoomScaleNormal="146" workbookViewId="0">
      <selection activeCell="L10" sqref="L10"/>
    </sheetView>
  </sheetViews>
  <sheetFormatPr defaultRowHeight="13.2" x14ac:dyDescent="0.25"/>
  <cols>
    <col min="1" max="1" width="2.69921875" style="17" customWidth="1"/>
    <col min="2" max="9" width="8.796875" style="17"/>
    <col min="10" max="10" width="2.69921875" style="17" customWidth="1"/>
    <col min="11" max="16384" width="8.796875" style="17"/>
  </cols>
  <sheetData>
    <row r="1" spans="2:8" x14ac:dyDescent="0.25">
      <c r="B1" s="15"/>
      <c r="C1" s="16"/>
      <c r="D1" s="16"/>
      <c r="E1" s="16"/>
      <c r="F1" s="16"/>
      <c r="G1" s="16"/>
      <c r="H1" s="16"/>
    </row>
    <row r="2" spans="2:8" x14ac:dyDescent="0.25">
      <c r="B2" s="16"/>
      <c r="C2" s="16"/>
      <c r="D2" s="16"/>
      <c r="E2" s="16"/>
      <c r="F2" s="16"/>
      <c r="G2" s="16"/>
      <c r="H2" s="16"/>
    </row>
    <row r="3" spans="2:8" x14ac:dyDescent="0.25">
      <c r="B3" s="16"/>
      <c r="C3" s="16"/>
      <c r="D3" s="16"/>
      <c r="E3" s="16"/>
      <c r="F3" s="16"/>
      <c r="G3" s="16"/>
      <c r="H3" s="16"/>
    </row>
    <row r="4" spans="2:8" x14ac:dyDescent="0.25">
      <c r="B4" s="16"/>
      <c r="C4" s="16"/>
      <c r="D4" s="16"/>
      <c r="E4" s="16"/>
      <c r="F4" s="16"/>
      <c r="G4" s="16"/>
      <c r="H4" s="16"/>
    </row>
  </sheetData>
  <mergeCells count="1">
    <mergeCell ref="B1:H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vt:lpstr>
      <vt:lpstr>PIVOT1</vt:lpstr>
      <vt:lpstr>Dashbord</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ODHIAMBO</dc:creator>
  <cp:lastModifiedBy>HP</cp:lastModifiedBy>
  <dcterms:created xsi:type="dcterms:W3CDTF">2024-05-23T05:56:02Z</dcterms:created>
  <dcterms:modified xsi:type="dcterms:W3CDTF">2025-12-24T13:11:38Z</dcterms:modified>
</cp:coreProperties>
</file>